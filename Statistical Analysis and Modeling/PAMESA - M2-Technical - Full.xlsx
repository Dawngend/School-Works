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/>
  <mc:AlternateContent xmlns:mc="http://schemas.openxmlformats.org/markup-compatibility/2006">
    <mc:Choice Requires="x15">
      <x15ac:absPath xmlns:x15ac="http://schemas.microsoft.com/office/spreadsheetml/2010/11/ac" url="D:\School-Works\Statistical Analysis and Modeling\"/>
    </mc:Choice>
  </mc:AlternateContent>
  <xr:revisionPtr revIDLastSave="0" documentId="13_ncr:1_{28DBFCFA-AAEA-47AE-950F-D73D91DD20B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README" sheetId="1" r:id="rId1"/>
    <sheet name="Questions" sheetId="2" r:id="rId2"/>
    <sheet name="Data" sheetId="3" r:id="rId3"/>
    <sheet name="Cleaning" sheetId="4" r:id="rId4"/>
    <sheet name="Descriptives" sheetId="5" r:id="rId5"/>
    <sheet name="Correlation" sheetId="6" r:id="rId6"/>
    <sheet name="ANOVA Data" sheetId="7" r:id="rId7"/>
    <sheet name="ANOVA" sheetId="8" r:id="rId8"/>
    <sheet name="Charts" sheetId="9" r:id="rId9"/>
    <sheet name="Summary" sheetId="10" r:id="rId10"/>
    <sheet name="AI Appendix" sheetId="11" r:id="rId1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F51" i="8" l="1"/>
  <c r="G51" i="8" s="1"/>
  <c r="F50" i="8"/>
  <c r="G50" i="8" s="1"/>
  <c r="F49" i="8"/>
  <c r="G49" i="8" s="1"/>
  <c r="F48" i="8"/>
  <c r="G48" i="8" s="1"/>
  <c r="F47" i="8"/>
  <c r="G47" i="8" s="1"/>
  <c r="F46" i="8"/>
  <c r="G46" i="8" s="1"/>
  <c r="F45" i="8"/>
  <c r="G45" i="8" s="1"/>
  <c r="B29" i="8"/>
  <c r="C13" i="8"/>
  <c r="C12" i="8"/>
  <c r="B12" i="8"/>
  <c r="C11" i="8"/>
  <c r="B11" i="8"/>
  <c r="C10" i="8"/>
  <c r="B10" i="8"/>
  <c r="C9" i="8"/>
  <c r="B9" i="8"/>
  <c r="B5" i="8"/>
  <c r="B4" i="8"/>
  <c r="G406" i="7"/>
  <c r="D406" i="7"/>
  <c r="F406" i="7" s="1"/>
  <c r="G405" i="7"/>
  <c r="F405" i="7"/>
  <c r="D405" i="7"/>
  <c r="E405" i="7" s="1"/>
  <c r="G404" i="7"/>
  <c r="E404" i="7"/>
  <c r="D404" i="7"/>
  <c r="F404" i="7" s="1"/>
  <c r="G403" i="7"/>
  <c r="D403" i="7"/>
  <c r="F403" i="7" s="1"/>
  <c r="G402" i="7"/>
  <c r="D402" i="7"/>
  <c r="E402" i="7" s="1"/>
  <c r="G401" i="7"/>
  <c r="D401" i="7"/>
  <c r="F401" i="7" s="1"/>
  <c r="G400" i="7"/>
  <c r="D400" i="7"/>
  <c r="G399" i="7"/>
  <c r="D399" i="7"/>
  <c r="E399" i="7" s="1"/>
  <c r="G398" i="7"/>
  <c r="D398" i="7"/>
  <c r="F398" i="7" s="1"/>
  <c r="G397" i="7"/>
  <c r="D397" i="7"/>
  <c r="G396" i="7"/>
  <c r="F396" i="7"/>
  <c r="D396" i="7"/>
  <c r="E396" i="7" s="1"/>
  <c r="G395" i="7"/>
  <c r="F395" i="7"/>
  <c r="D395" i="7"/>
  <c r="E395" i="7" s="1"/>
  <c r="G394" i="7"/>
  <c r="D394" i="7"/>
  <c r="F394" i="7" s="1"/>
  <c r="G393" i="7"/>
  <c r="F393" i="7"/>
  <c r="D393" i="7"/>
  <c r="E393" i="7" s="1"/>
  <c r="G392" i="7"/>
  <c r="D392" i="7"/>
  <c r="F392" i="7" s="1"/>
  <c r="G391" i="7"/>
  <c r="D391" i="7"/>
  <c r="F391" i="7" s="1"/>
  <c r="G390" i="7"/>
  <c r="D390" i="7"/>
  <c r="E390" i="7" s="1"/>
  <c r="G389" i="7"/>
  <c r="F389" i="7"/>
  <c r="E389" i="7"/>
  <c r="D389" i="7"/>
  <c r="G388" i="7"/>
  <c r="D388" i="7"/>
  <c r="F388" i="7" s="1"/>
  <c r="G387" i="7"/>
  <c r="F387" i="7"/>
  <c r="D387" i="7"/>
  <c r="E387" i="7" s="1"/>
  <c r="G386" i="7"/>
  <c r="D386" i="7"/>
  <c r="F386" i="7" s="1"/>
  <c r="G385" i="7"/>
  <c r="D385" i="7"/>
  <c r="F385" i="7" s="1"/>
  <c r="G384" i="7"/>
  <c r="D384" i="7"/>
  <c r="E384" i="7" s="1"/>
  <c r="G383" i="7"/>
  <c r="D383" i="7"/>
  <c r="F383" i="7" s="1"/>
  <c r="G382" i="7"/>
  <c r="D382" i="7"/>
  <c r="G381" i="7"/>
  <c r="D381" i="7"/>
  <c r="E381" i="7" s="1"/>
  <c r="G380" i="7"/>
  <c r="D380" i="7"/>
  <c r="F380" i="7" s="1"/>
  <c r="G379" i="7"/>
  <c r="D379" i="7"/>
  <c r="G378" i="7"/>
  <c r="D378" i="7"/>
  <c r="E378" i="7" s="1"/>
  <c r="G377" i="7"/>
  <c r="F377" i="7"/>
  <c r="D377" i="7"/>
  <c r="E377" i="7" s="1"/>
  <c r="G376" i="7"/>
  <c r="E376" i="7"/>
  <c r="D376" i="7"/>
  <c r="F376" i="7" s="1"/>
  <c r="G375" i="7"/>
  <c r="D375" i="7"/>
  <c r="E375" i="7" s="1"/>
  <c r="G374" i="7"/>
  <c r="D374" i="7"/>
  <c r="F374" i="7" s="1"/>
  <c r="G373" i="7"/>
  <c r="D373" i="7"/>
  <c r="F373" i="7" s="1"/>
  <c r="G372" i="7"/>
  <c r="D372" i="7"/>
  <c r="E372" i="7" s="1"/>
  <c r="G371" i="7"/>
  <c r="D371" i="7"/>
  <c r="F371" i="7" s="1"/>
  <c r="G370" i="7"/>
  <c r="D370" i="7"/>
  <c r="F370" i="7" s="1"/>
  <c r="G369" i="7"/>
  <c r="D369" i="7"/>
  <c r="E369" i="7" s="1"/>
  <c r="G368" i="7"/>
  <c r="F368" i="7"/>
  <c r="E368" i="7"/>
  <c r="D368" i="7"/>
  <c r="G367" i="7"/>
  <c r="D367" i="7"/>
  <c r="F367" i="7" s="1"/>
  <c r="G366" i="7"/>
  <c r="D366" i="7"/>
  <c r="E366" i="7" s="1"/>
  <c r="G365" i="7"/>
  <c r="D365" i="7"/>
  <c r="F365" i="7" s="1"/>
  <c r="G364" i="7"/>
  <c r="D364" i="7"/>
  <c r="G363" i="7"/>
  <c r="D363" i="7"/>
  <c r="E363" i="7" s="1"/>
  <c r="G362" i="7"/>
  <c r="D362" i="7"/>
  <c r="F362" i="7" s="1"/>
  <c r="G361" i="7"/>
  <c r="D361" i="7"/>
  <c r="G360" i="7"/>
  <c r="D360" i="7"/>
  <c r="E360" i="7" s="1"/>
  <c r="G359" i="7"/>
  <c r="D359" i="7"/>
  <c r="E359" i="7" s="1"/>
  <c r="G358" i="7"/>
  <c r="E358" i="7"/>
  <c r="D358" i="7"/>
  <c r="F358" i="7" s="1"/>
  <c r="G357" i="7"/>
  <c r="D357" i="7"/>
  <c r="E357" i="7" s="1"/>
  <c r="G356" i="7"/>
  <c r="D356" i="7"/>
  <c r="F356" i="7" s="1"/>
  <c r="G355" i="7"/>
  <c r="D355" i="7"/>
  <c r="F355" i="7" s="1"/>
  <c r="G354" i="7"/>
  <c r="D354" i="7"/>
  <c r="E354" i="7" s="1"/>
  <c r="G353" i="7"/>
  <c r="F353" i="7"/>
  <c r="E353" i="7"/>
  <c r="D353" i="7"/>
  <c r="G352" i="7"/>
  <c r="D352" i="7"/>
  <c r="F352" i="7" s="1"/>
  <c r="G351" i="7"/>
  <c r="D351" i="7"/>
  <c r="E351" i="7" s="1"/>
  <c r="G350" i="7"/>
  <c r="D350" i="7"/>
  <c r="F350" i="7" s="1"/>
  <c r="G349" i="7"/>
  <c r="D349" i="7"/>
  <c r="F349" i="7" s="1"/>
  <c r="G348" i="7"/>
  <c r="D348" i="7"/>
  <c r="E348" i="7" s="1"/>
  <c r="G347" i="7"/>
  <c r="D347" i="7"/>
  <c r="F347" i="7" s="1"/>
  <c r="G346" i="7"/>
  <c r="D346" i="7"/>
  <c r="G345" i="7"/>
  <c r="D345" i="7"/>
  <c r="E345" i="7" s="1"/>
  <c r="G344" i="7"/>
  <c r="D344" i="7"/>
  <c r="F344" i="7" s="1"/>
  <c r="G343" i="7"/>
  <c r="D343" i="7"/>
  <c r="G342" i="7"/>
  <c r="D342" i="7"/>
  <c r="E342" i="7" s="1"/>
  <c r="G341" i="7"/>
  <c r="D341" i="7"/>
  <c r="E341" i="7" s="1"/>
  <c r="G340" i="7"/>
  <c r="D340" i="7"/>
  <c r="F340" i="7" s="1"/>
  <c r="G339" i="7"/>
  <c r="F339" i="7"/>
  <c r="D339" i="7"/>
  <c r="E339" i="7" s="1"/>
  <c r="G338" i="7"/>
  <c r="D338" i="7"/>
  <c r="F338" i="7" s="1"/>
  <c r="G337" i="7"/>
  <c r="E337" i="7"/>
  <c r="D337" i="7"/>
  <c r="F337" i="7" s="1"/>
  <c r="G336" i="7"/>
  <c r="D336" i="7"/>
  <c r="E336" i="7" s="1"/>
  <c r="G335" i="7"/>
  <c r="D335" i="7"/>
  <c r="F335" i="7" s="1"/>
  <c r="G334" i="7"/>
  <c r="E334" i="7"/>
  <c r="D334" i="7"/>
  <c r="F334" i="7" s="1"/>
  <c r="G333" i="7"/>
  <c r="D333" i="7"/>
  <c r="E333" i="7" s="1"/>
  <c r="G332" i="7"/>
  <c r="D332" i="7"/>
  <c r="F332" i="7" s="1"/>
  <c r="G331" i="7"/>
  <c r="D331" i="7"/>
  <c r="F331" i="7" s="1"/>
  <c r="G330" i="7"/>
  <c r="D330" i="7"/>
  <c r="E330" i="7" s="1"/>
  <c r="G329" i="7"/>
  <c r="D329" i="7"/>
  <c r="F329" i="7" s="1"/>
  <c r="G328" i="7"/>
  <c r="D328" i="7"/>
  <c r="G327" i="7"/>
  <c r="D327" i="7"/>
  <c r="E327" i="7" s="1"/>
  <c r="G326" i="7"/>
  <c r="D326" i="7"/>
  <c r="F326" i="7" s="1"/>
  <c r="G325" i="7"/>
  <c r="D325" i="7"/>
  <c r="G324" i="7"/>
  <c r="F324" i="7"/>
  <c r="D324" i="7"/>
  <c r="E324" i="7" s="1"/>
  <c r="G323" i="7"/>
  <c r="D323" i="7"/>
  <c r="E323" i="7" s="1"/>
  <c r="G322" i="7"/>
  <c r="D322" i="7"/>
  <c r="F322" i="7" s="1"/>
  <c r="G321" i="7"/>
  <c r="D321" i="7"/>
  <c r="E321" i="7" s="1"/>
  <c r="G320" i="7"/>
  <c r="D320" i="7"/>
  <c r="F320" i="7" s="1"/>
  <c r="G319" i="7"/>
  <c r="E319" i="7"/>
  <c r="D319" i="7"/>
  <c r="F319" i="7" s="1"/>
  <c r="G318" i="7"/>
  <c r="D318" i="7"/>
  <c r="G317" i="7"/>
  <c r="D317" i="7"/>
  <c r="E317" i="7" s="1"/>
  <c r="G316" i="7"/>
  <c r="D316" i="7"/>
  <c r="F316" i="7" s="1"/>
  <c r="G315" i="7"/>
  <c r="D315" i="7"/>
  <c r="F315" i="7" s="1"/>
  <c r="G314" i="7"/>
  <c r="F314" i="7"/>
  <c r="D314" i="7"/>
  <c r="E314" i="7" s="1"/>
  <c r="G313" i="7"/>
  <c r="D313" i="7"/>
  <c r="F313" i="7" s="1"/>
  <c r="G312" i="7"/>
  <c r="D312" i="7"/>
  <c r="F312" i="7" s="1"/>
  <c r="G311" i="7"/>
  <c r="D311" i="7"/>
  <c r="E311" i="7" s="1"/>
  <c r="G310" i="7"/>
  <c r="D310" i="7"/>
  <c r="F310" i="7" s="1"/>
  <c r="G309" i="7"/>
  <c r="D309" i="7"/>
  <c r="F309" i="7" s="1"/>
  <c r="G308" i="7"/>
  <c r="D308" i="7"/>
  <c r="F308" i="7" s="1"/>
  <c r="G307" i="7"/>
  <c r="D307" i="7"/>
  <c r="F307" i="7" s="1"/>
  <c r="G306" i="7"/>
  <c r="E306" i="7"/>
  <c r="D306" i="7"/>
  <c r="F306" i="7" s="1"/>
  <c r="G305" i="7"/>
  <c r="D305" i="7"/>
  <c r="G304" i="7"/>
  <c r="E304" i="7"/>
  <c r="D304" i="7"/>
  <c r="F304" i="7" s="1"/>
  <c r="G303" i="7"/>
  <c r="F303" i="7"/>
  <c r="D303" i="7"/>
  <c r="E303" i="7" s="1"/>
  <c r="G302" i="7"/>
  <c r="D302" i="7"/>
  <c r="F302" i="7" s="1"/>
  <c r="G301" i="7"/>
  <c r="D301" i="7"/>
  <c r="G300" i="7"/>
  <c r="D300" i="7"/>
  <c r="F300" i="7" s="1"/>
  <c r="G299" i="7"/>
  <c r="F299" i="7"/>
  <c r="E299" i="7"/>
  <c r="D299" i="7"/>
  <c r="G298" i="7"/>
  <c r="D298" i="7"/>
  <c r="F298" i="7" s="1"/>
  <c r="G297" i="7"/>
  <c r="D297" i="7"/>
  <c r="F297" i="7" s="1"/>
  <c r="G296" i="7"/>
  <c r="D296" i="7"/>
  <c r="F296" i="7" s="1"/>
  <c r="G295" i="7"/>
  <c r="D295" i="7"/>
  <c r="G294" i="7"/>
  <c r="F294" i="7"/>
  <c r="D294" i="7"/>
  <c r="E294" i="7" s="1"/>
  <c r="G293" i="7"/>
  <c r="D293" i="7"/>
  <c r="F293" i="7" s="1"/>
  <c r="G292" i="7"/>
  <c r="D292" i="7"/>
  <c r="F292" i="7" s="1"/>
  <c r="G291" i="7"/>
  <c r="F291" i="7"/>
  <c r="E291" i="7"/>
  <c r="D291" i="7"/>
  <c r="G290" i="7"/>
  <c r="F290" i="7"/>
  <c r="D290" i="7"/>
  <c r="E290" i="7" s="1"/>
  <c r="G289" i="7"/>
  <c r="D289" i="7"/>
  <c r="F289" i="7" s="1"/>
  <c r="G288" i="7"/>
  <c r="D288" i="7"/>
  <c r="E288" i="7" s="1"/>
  <c r="G287" i="7"/>
  <c r="D287" i="7"/>
  <c r="F287" i="7" s="1"/>
  <c r="G286" i="7"/>
  <c r="D286" i="7"/>
  <c r="F286" i="7" s="1"/>
  <c r="G285" i="7"/>
  <c r="D285" i="7"/>
  <c r="F285" i="7" s="1"/>
  <c r="G284" i="7"/>
  <c r="D284" i="7"/>
  <c r="F284" i="7" s="1"/>
  <c r="G283" i="7"/>
  <c r="D283" i="7"/>
  <c r="F283" i="7" s="1"/>
  <c r="G282" i="7"/>
  <c r="D282" i="7"/>
  <c r="G281" i="7"/>
  <c r="F281" i="7"/>
  <c r="D281" i="7"/>
  <c r="E281" i="7" s="1"/>
  <c r="G280" i="7"/>
  <c r="D280" i="7"/>
  <c r="F280" i="7" s="1"/>
  <c r="G279" i="7"/>
  <c r="D279" i="7"/>
  <c r="F279" i="7" s="1"/>
  <c r="G278" i="7"/>
  <c r="D278" i="7"/>
  <c r="F278" i="7" s="1"/>
  <c r="G277" i="7"/>
  <c r="D277" i="7"/>
  <c r="F277" i="7" s="1"/>
  <c r="G276" i="7"/>
  <c r="D276" i="7"/>
  <c r="E276" i="7" s="1"/>
  <c r="G275" i="7"/>
  <c r="D275" i="7"/>
  <c r="E275" i="7" s="1"/>
  <c r="G274" i="7"/>
  <c r="D274" i="7"/>
  <c r="F274" i="7" s="1"/>
  <c r="G273" i="7"/>
  <c r="D273" i="7"/>
  <c r="F273" i="7" s="1"/>
  <c r="G272" i="7"/>
  <c r="E272" i="7"/>
  <c r="D272" i="7"/>
  <c r="F272" i="7" s="1"/>
  <c r="G271" i="7"/>
  <c r="D271" i="7"/>
  <c r="F271" i="7" s="1"/>
  <c r="G270" i="7"/>
  <c r="D270" i="7"/>
  <c r="F270" i="7" s="1"/>
  <c r="G269" i="7"/>
  <c r="D269" i="7"/>
  <c r="G268" i="7"/>
  <c r="E268" i="7"/>
  <c r="D268" i="7"/>
  <c r="F268" i="7" s="1"/>
  <c r="G267" i="7"/>
  <c r="D267" i="7"/>
  <c r="E267" i="7" s="1"/>
  <c r="G266" i="7"/>
  <c r="D266" i="7"/>
  <c r="F266" i="7" s="1"/>
  <c r="G265" i="7"/>
  <c r="E265" i="7"/>
  <c r="D265" i="7"/>
  <c r="F265" i="7" s="1"/>
  <c r="G264" i="7"/>
  <c r="E264" i="7"/>
  <c r="D264" i="7"/>
  <c r="F264" i="7" s="1"/>
  <c r="G263" i="7"/>
  <c r="D263" i="7"/>
  <c r="F263" i="7" s="1"/>
  <c r="G262" i="7"/>
  <c r="D262" i="7"/>
  <c r="F262" i="7" s="1"/>
  <c r="G261" i="7"/>
  <c r="D261" i="7"/>
  <c r="F261" i="7" s="1"/>
  <c r="G260" i="7"/>
  <c r="D260" i="7"/>
  <c r="F260" i="7" s="1"/>
  <c r="G259" i="7"/>
  <c r="D259" i="7"/>
  <c r="F259" i="7" s="1"/>
  <c r="G258" i="7"/>
  <c r="D258" i="7"/>
  <c r="E258" i="7" s="1"/>
  <c r="G257" i="7"/>
  <c r="E257" i="7"/>
  <c r="D257" i="7"/>
  <c r="F257" i="7" s="1"/>
  <c r="G256" i="7"/>
  <c r="D256" i="7"/>
  <c r="G255" i="7"/>
  <c r="E255" i="7"/>
  <c r="D255" i="7"/>
  <c r="F255" i="7" s="1"/>
  <c r="G254" i="7"/>
  <c r="D254" i="7"/>
  <c r="E254" i="7" s="1"/>
  <c r="G253" i="7"/>
  <c r="E253" i="7"/>
  <c r="D253" i="7"/>
  <c r="F253" i="7" s="1"/>
  <c r="G252" i="7"/>
  <c r="D252" i="7"/>
  <c r="F252" i="7" s="1"/>
  <c r="G251" i="7"/>
  <c r="E251" i="7"/>
  <c r="D251" i="7"/>
  <c r="F251" i="7" s="1"/>
  <c r="G250" i="7"/>
  <c r="D250" i="7"/>
  <c r="F250" i="7" s="1"/>
  <c r="G249" i="7"/>
  <c r="F249" i="7"/>
  <c r="E249" i="7"/>
  <c r="D249" i="7"/>
  <c r="G248" i="7"/>
  <c r="D248" i="7"/>
  <c r="G247" i="7"/>
  <c r="D247" i="7"/>
  <c r="F247" i="7" s="1"/>
  <c r="G246" i="7"/>
  <c r="D246" i="7"/>
  <c r="F246" i="7" s="1"/>
  <c r="G245" i="7"/>
  <c r="D245" i="7"/>
  <c r="E245" i="7" s="1"/>
  <c r="G244" i="7"/>
  <c r="D244" i="7"/>
  <c r="F244" i="7" s="1"/>
  <c r="G243" i="7"/>
  <c r="D243" i="7"/>
  <c r="E243" i="7" s="1"/>
  <c r="G242" i="7"/>
  <c r="E242" i="7"/>
  <c r="D242" i="7"/>
  <c r="F242" i="7" s="1"/>
  <c r="G241" i="7"/>
  <c r="D241" i="7"/>
  <c r="F241" i="7" s="1"/>
  <c r="G240" i="7"/>
  <c r="F240" i="7"/>
  <c r="E240" i="7"/>
  <c r="D240" i="7"/>
  <c r="G239" i="7"/>
  <c r="E239" i="7"/>
  <c r="D239" i="7"/>
  <c r="F239" i="7" s="1"/>
  <c r="G238" i="7"/>
  <c r="D238" i="7"/>
  <c r="G237" i="7"/>
  <c r="D237" i="7"/>
  <c r="G236" i="7"/>
  <c r="D236" i="7"/>
  <c r="F236" i="7" s="1"/>
  <c r="G235" i="7"/>
  <c r="D235" i="7"/>
  <c r="F235" i="7" s="1"/>
  <c r="G234" i="7"/>
  <c r="D234" i="7"/>
  <c r="F234" i="7" s="1"/>
  <c r="G233" i="7"/>
  <c r="D233" i="7"/>
  <c r="F233" i="7" s="1"/>
  <c r="G232" i="7"/>
  <c r="D232" i="7"/>
  <c r="F232" i="7" s="1"/>
  <c r="G231" i="7"/>
  <c r="F231" i="7"/>
  <c r="D231" i="7"/>
  <c r="E231" i="7" s="1"/>
  <c r="G230" i="7"/>
  <c r="D230" i="7"/>
  <c r="E230" i="7" s="1"/>
  <c r="G229" i="7"/>
  <c r="D229" i="7"/>
  <c r="F229" i="7" s="1"/>
  <c r="G228" i="7"/>
  <c r="F228" i="7"/>
  <c r="E228" i="7"/>
  <c r="D228" i="7"/>
  <c r="G227" i="7"/>
  <c r="F227" i="7"/>
  <c r="E227" i="7"/>
  <c r="D227" i="7"/>
  <c r="G226" i="7"/>
  <c r="D226" i="7"/>
  <c r="F226" i="7" s="1"/>
  <c r="G225" i="7"/>
  <c r="D225" i="7"/>
  <c r="G224" i="7"/>
  <c r="D224" i="7"/>
  <c r="G223" i="7"/>
  <c r="D223" i="7"/>
  <c r="F223" i="7" s="1"/>
  <c r="G222" i="7"/>
  <c r="F222" i="7"/>
  <c r="D222" i="7"/>
  <c r="E222" i="7" s="1"/>
  <c r="G221" i="7"/>
  <c r="D221" i="7"/>
  <c r="F221" i="7" s="1"/>
  <c r="G220" i="7"/>
  <c r="D220" i="7"/>
  <c r="G219" i="7"/>
  <c r="F219" i="7"/>
  <c r="D219" i="7"/>
  <c r="E219" i="7" s="1"/>
  <c r="G218" i="7"/>
  <c r="F218" i="7"/>
  <c r="D218" i="7"/>
  <c r="E218" i="7" s="1"/>
  <c r="G217" i="7"/>
  <c r="D217" i="7"/>
  <c r="F217" i="7" s="1"/>
  <c r="G216" i="7"/>
  <c r="E216" i="7"/>
  <c r="D216" i="7"/>
  <c r="F216" i="7" s="1"/>
  <c r="G215" i="7"/>
  <c r="D215" i="7"/>
  <c r="F215" i="7" s="1"/>
  <c r="G214" i="7"/>
  <c r="D214" i="7"/>
  <c r="G213" i="7"/>
  <c r="E213" i="7"/>
  <c r="D213" i="7"/>
  <c r="F213" i="7" s="1"/>
  <c r="G212" i="7"/>
  <c r="D212" i="7"/>
  <c r="F212" i="7" s="1"/>
  <c r="G211" i="7"/>
  <c r="D211" i="7"/>
  <c r="F211" i="7" s="1"/>
  <c r="G210" i="7"/>
  <c r="E210" i="7"/>
  <c r="D210" i="7"/>
  <c r="F210" i="7" s="1"/>
  <c r="G209" i="7"/>
  <c r="D209" i="7"/>
  <c r="E209" i="7" s="1"/>
  <c r="G208" i="7"/>
  <c r="D208" i="7"/>
  <c r="G207" i="7"/>
  <c r="D207" i="7"/>
  <c r="E207" i="7" s="1"/>
  <c r="G206" i="7"/>
  <c r="D206" i="7"/>
  <c r="E206" i="7" s="1"/>
  <c r="G205" i="7"/>
  <c r="E205" i="7"/>
  <c r="D205" i="7"/>
  <c r="F205" i="7" s="1"/>
  <c r="G204" i="7"/>
  <c r="E204" i="7"/>
  <c r="D204" i="7"/>
  <c r="F204" i="7" s="1"/>
  <c r="G203" i="7"/>
  <c r="D203" i="7"/>
  <c r="F203" i="7" s="1"/>
  <c r="G202" i="7"/>
  <c r="D202" i="7"/>
  <c r="F202" i="7" s="1"/>
  <c r="G201" i="7"/>
  <c r="F201" i="7"/>
  <c r="D201" i="7"/>
  <c r="E201" i="7" s="1"/>
  <c r="G200" i="7"/>
  <c r="D200" i="7"/>
  <c r="F200" i="7" s="1"/>
  <c r="G199" i="7"/>
  <c r="D199" i="7"/>
  <c r="G198" i="7"/>
  <c r="D198" i="7"/>
  <c r="F198" i="7" s="1"/>
  <c r="G197" i="7"/>
  <c r="D197" i="7"/>
  <c r="F197" i="7" s="1"/>
  <c r="G196" i="7"/>
  <c r="E196" i="7"/>
  <c r="D196" i="7"/>
  <c r="F196" i="7" s="1"/>
  <c r="G195" i="7"/>
  <c r="D195" i="7"/>
  <c r="E195" i="7" s="1"/>
  <c r="G194" i="7"/>
  <c r="D194" i="7"/>
  <c r="E194" i="7" s="1"/>
  <c r="G193" i="7"/>
  <c r="D193" i="7"/>
  <c r="F193" i="7" s="1"/>
  <c r="G192" i="7"/>
  <c r="F192" i="7"/>
  <c r="E192" i="7"/>
  <c r="D192" i="7"/>
  <c r="G191" i="7"/>
  <c r="D191" i="7"/>
  <c r="F191" i="7" s="1"/>
  <c r="G190" i="7"/>
  <c r="E190" i="7"/>
  <c r="D190" i="7"/>
  <c r="F190" i="7" s="1"/>
  <c r="G189" i="7"/>
  <c r="D189" i="7"/>
  <c r="F189" i="7" s="1"/>
  <c r="G188" i="7"/>
  <c r="D188" i="7"/>
  <c r="F188" i="7" s="1"/>
  <c r="G187" i="7"/>
  <c r="D187" i="7"/>
  <c r="F187" i="7" s="1"/>
  <c r="G186" i="7"/>
  <c r="D186" i="7"/>
  <c r="F186" i="7" s="1"/>
  <c r="G185" i="7"/>
  <c r="D185" i="7"/>
  <c r="F185" i="7" s="1"/>
  <c r="G184" i="7"/>
  <c r="D184" i="7"/>
  <c r="E184" i="7" s="1"/>
  <c r="G183" i="7"/>
  <c r="E183" i="7"/>
  <c r="D183" i="7"/>
  <c r="F183" i="7" s="1"/>
  <c r="G182" i="7"/>
  <c r="D182" i="7"/>
  <c r="F182" i="7" s="1"/>
  <c r="G181" i="7"/>
  <c r="D181" i="7"/>
  <c r="F181" i="7" s="1"/>
  <c r="G180" i="7"/>
  <c r="D180" i="7"/>
  <c r="E180" i="7" s="1"/>
  <c r="G179" i="7"/>
  <c r="E179" i="7"/>
  <c r="D179" i="7"/>
  <c r="F179" i="7" s="1"/>
  <c r="G178" i="7"/>
  <c r="D178" i="7"/>
  <c r="F178" i="7" s="1"/>
  <c r="G177" i="7"/>
  <c r="D177" i="7"/>
  <c r="F177" i="7" s="1"/>
  <c r="G176" i="7"/>
  <c r="D176" i="7"/>
  <c r="F176" i="7" s="1"/>
  <c r="G175" i="7"/>
  <c r="F175" i="7"/>
  <c r="D175" i="7"/>
  <c r="E175" i="7" s="1"/>
  <c r="G174" i="7"/>
  <c r="D174" i="7"/>
  <c r="F174" i="7" s="1"/>
  <c r="G173" i="7"/>
  <c r="E173" i="7"/>
  <c r="D173" i="7"/>
  <c r="F173" i="7" s="1"/>
  <c r="G172" i="7"/>
  <c r="D172" i="7"/>
  <c r="F172" i="7" s="1"/>
  <c r="G171" i="7"/>
  <c r="D171" i="7"/>
  <c r="E171" i="7" s="1"/>
  <c r="G170" i="7"/>
  <c r="D170" i="7"/>
  <c r="F170" i="7" s="1"/>
  <c r="G169" i="7"/>
  <c r="D169" i="7"/>
  <c r="F169" i="7" s="1"/>
  <c r="G168" i="7"/>
  <c r="D168" i="7"/>
  <c r="F168" i="7" s="1"/>
  <c r="G167" i="7"/>
  <c r="D167" i="7"/>
  <c r="F167" i="7" s="1"/>
  <c r="G166" i="7"/>
  <c r="D166" i="7"/>
  <c r="F166" i="7" s="1"/>
  <c r="G165" i="7"/>
  <c r="D165" i="7"/>
  <c r="F165" i="7" s="1"/>
  <c r="G164" i="7"/>
  <c r="D164" i="7"/>
  <c r="F164" i="7" s="1"/>
  <c r="G163" i="7"/>
  <c r="D163" i="7"/>
  <c r="F163" i="7" s="1"/>
  <c r="G162" i="7"/>
  <c r="D162" i="7"/>
  <c r="E162" i="7" s="1"/>
  <c r="G161" i="7"/>
  <c r="D161" i="7"/>
  <c r="F161" i="7" s="1"/>
  <c r="G160" i="7"/>
  <c r="E160" i="7"/>
  <c r="D160" i="7"/>
  <c r="F160" i="7" s="1"/>
  <c r="G159" i="7"/>
  <c r="D159" i="7"/>
  <c r="F159" i="7" s="1"/>
  <c r="G158" i="7"/>
  <c r="D158" i="7"/>
  <c r="F158" i="7" s="1"/>
  <c r="G157" i="7"/>
  <c r="F157" i="7"/>
  <c r="D157" i="7"/>
  <c r="E157" i="7" s="1"/>
  <c r="G156" i="7"/>
  <c r="D156" i="7"/>
  <c r="F156" i="7" s="1"/>
  <c r="G155" i="7"/>
  <c r="D155" i="7"/>
  <c r="F155" i="7" s="1"/>
  <c r="G154" i="7"/>
  <c r="F154" i="7"/>
  <c r="E154" i="7"/>
  <c r="D154" i="7"/>
  <c r="G153" i="7"/>
  <c r="D153" i="7"/>
  <c r="F153" i="7" s="1"/>
  <c r="G152" i="7"/>
  <c r="E152" i="7"/>
  <c r="D152" i="7"/>
  <c r="F152" i="7" s="1"/>
  <c r="G151" i="7"/>
  <c r="D151" i="7"/>
  <c r="F151" i="7" s="1"/>
  <c r="G150" i="7"/>
  <c r="D150" i="7"/>
  <c r="F150" i="7" s="1"/>
  <c r="G149" i="7"/>
  <c r="D149" i="7"/>
  <c r="F149" i="7" s="1"/>
  <c r="G148" i="7"/>
  <c r="D148" i="7"/>
  <c r="E148" i="7" s="1"/>
  <c r="G147" i="7"/>
  <c r="E147" i="7"/>
  <c r="D147" i="7"/>
  <c r="F147" i="7" s="1"/>
  <c r="G146" i="7"/>
  <c r="D146" i="7"/>
  <c r="F146" i="7" s="1"/>
  <c r="G145" i="7"/>
  <c r="F145" i="7"/>
  <c r="E145" i="7"/>
  <c r="D145" i="7"/>
  <c r="G144" i="7"/>
  <c r="D144" i="7"/>
  <c r="E144" i="7" s="1"/>
  <c r="G143" i="7"/>
  <c r="E143" i="7"/>
  <c r="D143" i="7"/>
  <c r="F143" i="7" s="1"/>
  <c r="G142" i="7"/>
  <c r="D142" i="7"/>
  <c r="F142" i="7" s="1"/>
  <c r="G141" i="7"/>
  <c r="F141" i="7"/>
  <c r="E141" i="7"/>
  <c r="D141" i="7"/>
  <c r="G140" i="7"/>
  <c r="D140" i="7"/>
  <c r="F140" i="7" s="1"/>
  <c r="G139" i="7"/>
  <c r="F139" i="7"/>
  <c r="E139" i="7"/>
  <c r="D139" i="7"/>
  <c r="G138" i="7"/>
  <c r="D138" i="7"/>
  <c r="F138" i="7" s="1"/>
  <c r="G137" i="7"/>
  <c r="D137" i="7"/>
  <c r="F137" i="7" s="1"/>
  <c r="G136" i="7"/>
  <c r="D136" i="7"/>
  <c r="F136" i="7" s="1"/>
  <c r="G135" i="7"/>
  <c r="F135" i="7"/>
  <c r="D135" i="7"/>
  <c r="E135" i="7" s="1"/>
  <c r="G134" i="7"/>
  <c r="D134" i="7"/>
  <c r="F134" i="7" s="1"/>
  <c r="G133" i="7"/>
  <c r="D133" i="7"/>
  <c r="F133" i="7" s="1"/>
  <c r="G132" i="7"/>
  <c r="F132" i="7"/>
  <c r="E132" i="7"/>
  <c r="D132" i="7"/>
  <c r="G131" i="7"/>
  <c r="D131" i="7"/>
  <c r="F131" i="7" s="1"/>
  <c r="G130" i="7"/>
  <c r="D130" i="7"/>
  <c r="F130" i="7" s="1"/>
  <c r="G129" i="7"/>
  <c r="D129" i="7"/>
  <c r="F129" i="7" s="1"/>
  <c r="G128" i="7"/>
  <c r="D128" i="7"/>
  <c r="F128" i="7" s="1"/>
  <c r="G127" i="7"/>
  <c r="D127" i="7"/>
  <c r="F127" i="7" s="1"/>
  <c r="G126" i="7"/>
  <c r="D126" i="7"/>
  <c r="E126" i="7" s="1"/>
  <c r="G125" i="7"/>
  <c r="D125" i="7"/>
  <c r="F125" i="7" s="1"/>
  <c r="G124" i="7"/>
  <c r="E124" i="7"/>
  <c r="D124" i="7"/>
  <c r="F124" i="7" s="1"/>
  <c r="G123" i="7"/>
  <c r="D123" i="7"/>
  <c r="F123" i="7" s="1"/>
  <c r="G122" i="7"/>
  <c r="D122" i="7"/>
  <c r="F122" i="7" s="1"/>
  <c r="G121" i="7"/>
  <c r="F121" i="7"/>
  <c r="D121" i="7"/>
  <c r="E121" i="7" s="1"/>
  <c r="G120" i="7"/>
  <c r="D120" i="7"/>
  <c r="F120" i="7" s="1"/>
  <c r="G119" i="7"/>
  <c r="D119" i="7"/>
  <c r="F119" i="7" s="1"/>
  <c r="G118" i="7"/>
  <c r="F118" i="7"/>
  <c r="E118" i="7"/>
  <c r="D118" i="7"/>
  <c r="G117" i="7"/>
  <c r="D117" i="7"/>
  <c r="F117" i="7" s="1"/>
  <c r="G116" i="7"/>
  <c r="D116" i="7"/>
  <c r="F116" i="7" s="1"/>
  <c r="G115" i="7"/>
  <c r="D115" i="7"/>
  <c r="F115" i="7" s="1"/>
  <c r="G114" i="7"/>
  <c r="D114" i="7"/>
  <c r="F114" i="7" s="1"/>
  <c r="G113" i="7"/>
  <c r="D113" i="7"/>
  <c r="F113" i="7" s="1"/>
  <c r="G112" i="7"/>
  <c r="D112" i="7"/>
  <c r="E112" i="7" s="1"/>
  <c r="G111" i="7"/>
  <c r="D111" i="7"/>
  <c r="F111" i="7" s="1"/>
  <c r="G110" i="7"/>
  <c r="D110" i="7"/>
  <c r="F110" i="7" s="1"/>
  <c r="G109" i="7"/>
  <c r="D109" i="7"/>
  <c r="F109" i="7" s="1"/>
  <c r="G108" i="7"/>
  <c r="D108" i="7"/>
  <c r="E108" i="7" s="1"/>
  <c r="G107" i="7"/>
  <c r="D107" i="7"/>
  <c r="F107" i="7" s="1"/>
  <c r="G106" i="7"/>
  <c r="D106" i="7"/>
  <c r="F106" i="7" s="1"/>
  <c r="G105" i="7"/>
  <c r="E105" i="7"/>
  <c r="D105" i="7"/>
  <c r="F105" i="7" s="1"/>
  <c r="G104" i="7"/>
  <c r="D104" i="7"/>
  <c r="F104" i="7" s="1"/>
  <c r="G103" i="7"/>
  <c r="F103" i="7"/>
  <c r="E103" i="7"/>
  <c r="D103" i="7"/>
  <c r="G102" i="7"/>
  <c r="D102" i="7"/>
  <c r="F102" i="7" s="1"/>
  <c r="G101" i="7"/>
  <c r="D101" i="7"/>
  <c r="F101" i="7" s="1"/>
  <c r="G100" i="7"/>
  <c r="D100" i="7"/>
  <c r="F100" i="7" s="1"/>
  <c r="G99" i="7"/>
  <c r="D99" i="7"/>
  <c r="E99" i="7" s="1"/>
  <c r="G98" i="7"/>
  <c r="D98" i="7"/>
  <c r="F98" i="7" s="1"/>
  <c r="G97" i="7"/>
  <c r="D97" i="7"/>
  <c r="F97" i="7" s="1"/>
  <c r="G96" i="7"/>
  <c r="E96" i="7"/>
  <c r="D96" i="7"/>
  <c r="F96" i="7" s="1"/>
  <c r="G95" i="7"/>
  <c r="D95" i="7"/>
  <c r="F95" i="7" s="1"/>
  <c r="G94" i="7"/>
  <c r="D94" i="7"/>
  <c r="F94" i="7" s="1"/>
  <c r="G93" i="7"/>
  <c r="D93" i="7"/>
  <c r="F93" i="7" s="1"/>
  <c r="G92" i="7"/>
  <c r="D92" i="7"/>
  <c r="F92" i="7" s="1"/>
  <c r="G91" i="7"/>
  <c r="D91" i="7"/>
  <c r="F91" i="7" s="1"/>
  <c r="G90" i="7"/>
  <c r="F90" i="7"/>
  <c r="D90" i="7"/>
  <c r="E90" i="7" s="1"/>
  <c r="G89" i="7"/>
  <c r="D89" i="7"/>
  <c r="F89" i="7" s="1"/>
  <c r="G88" i="7"/>
  <c r="E88" i="7"/>
  <c r="D88" i="7"/>
  <c r="F88" i="7" s="1"/>
  <c r="G87" i="7"/>
  <c r="D87" i="7"/>
  <c r="F87" i="7" s="1"/>
  <c r="G86" i="7"/>
  <c r="D86" i="7"/>
  <c r="F86" i="7" s="1"/>
  <c r="G85" i="7"/>
  <c r="D85" i="7"/>
  <c r="E85" i="7" s="1"/>
  <c r="G84" i="7"/>
  <c r="D84" i="7"/>
  <c r="F84" i="7" s="1"/>
  <c r="G83" i="7"/>
  <c r="D83" i="7"/>
  <c r="F83" i="7" s="1"/>
  <c r="G82" i="7"/>
  <c r="E82" i="7"/>
  <c r="D82" i="7"/>
  <c r="F82" i="7" s="1"/>
  <c r="G81" i="7"/>
  <c r="D81" i="7"/>
  <c r="F81" i="7" s="1"/>
  <c r="G80" i="7"/>
  <c r="D80" i="7"/>
  <c r="F80" i="7" s="1"/>
  <c r="G79" i="7"/>
  <c r="E79" i="7"/>
  <c r="D79" i="7"/>
  <c r="F79" i="7" s="1"/>
  <c r="G78" i="7"/>
  <c r="D78" i="7"/>
  <c r="F78" i="7" s="1"/>
  <c r="G77" i="7"/>
  <c r="D77" i="7"/>
  <c r="F77" i="7" s="1"/>
  <c r="G76" i="7"/>
  <c r="D76" i="7"/>
  <c r="E76" i="7" s="1"/>
  <c r="G75" i="7"/>
  <c r="E75" i="7"/>
  <c r="D75" i="7"/>
  <c r="F75" i="7" s="1"/>
  <c r="G74" i="7"/>
  <c r="D74" i="7"/>
  <c r="F74" i="7" s="1"/>
  <c r="G73" i="7"/>
  <c r="D73" i="7"/>
  <c r="F73" i="7" s="1"/>
  <c r="G72" i="7"/>
  <c r="D72" i="7"/>
  <c r="E72" i="7" s="1"/>
  <c r="G71" i="7"/>
  <c r="D71" i="7"/>
  <c r="F71" i="7" s="1"/>
  <c r="G70" i="7"/>
  <c r="D70" i="7"/>
  <c r="F70" i="7" s="1"/>
  <c r="G69" i="7"/>
  <c r="D69" i="7"/>
  <c r="F69" i="7" s="1"/>
  <c r="G68" i="7"/>
  <c r="D68" i="7"/>
  <c r="F68" i="7" s="1"/>
  <c r="G67" i="7"/>
  <c r="D67" i="7"/>
  <c r="E67" i="7" s="1"/>
  <c r="G66" i="7"/>
  <c r="D66" i="7"/>
  <c r="F66" i="7" s="1"/>
  <c r="G65" i="7"/>
  <c r="D65" i="7"/>
  <c r="F65" i="7" s="1"/>
  <c r="G64" i="7"/>
  <c r="D64" i="7"/>
  <c r="F64" i="7" s="1"/>
  <c r="G63" i="7"/>
  <c r="D63" i="7"/>
  <c r="E63" i="7" s="1"/>
  <c r="G62" i="7"/>
  <c r="D62" i="7"/>
  <c r="F62" i="7" s="1"/>
  <c r="G61" i="7"/>
  <c r="D61" i="7"/>
  <c r="F61" i="7" s="1"/>
  <c r="G60" i="7"/>
  <c r="D60" i="7"/>
  <c r="F60" i="7" s="1"/>
  <c r="G59" i="7"/>
  <c r="D59" i="7"/>
  <c r="F59" i="7" s="1"/>
  <c r="G58" i="7"/>
  <c r="D58" i="7"/>
  <c r="F58" i="7" s="1"/>
  <c r="G57" i="7"/>
  <c r="D57" i="7"/>
  <c r="F57" i="7" s="1"/>
  <c r="G56" i="7"/>
  <c r="E56" i="7"/>
  <c r="D56" i="7"/>
  <c r="F56" i="7" s="1"/>
  <c r="G55" i="7"/>
  <c r="D55" i="7"/>
  <c r="F55" i="7" s="1"/>
  <c r="G54" i="7"/>
  <c r="D54" i="7"/>
  <c r="F54" i="7" s="1"/>
  <c r="G53" i="7"/>
  <c r="D53" i="7"/>
  <c r="F53" i="7" s="1"/>
  <c r="G52" i="7"/>
  <c r="E52" i="7"/>
  <c r="D52" i="7"/>
  <c r="F52" i="7" s="1"/>
  <c r="G51" i="7"/>
  <c r="D51" i="7"/>
  <c r="F51" i="7" s="1"/>
  <c r="G50" i="7"/>
  <c r="E50" i="7"/>
  <c r="D50" i="7"/>
  <c r="F50" i="7" s="1"/>
  <c r="G49" i="7"/>
  <c r="D49" i="7"/>
  <c r="E49" i="7" s="1"/>
  <c r="G48" i="7"/>
  <c r="D48" i="7"/>
  <c r="F48" i="7" s="1"/>
  <c r="G47" i="7"/>
  <c r="D47" i="7"/>
  <c r="F47" i="7" s="1"/>
  <c r="G46" i="7"/>
  <c r="D46" i="7"/>
  <c r="F46" i="7" s="1"/>
  <c r="G45" i="7"/>
  <c r="D45" i="7"/>
  <c r="F45" i="7" s="1"/>
  <c r="G44" i="7"/>
  <c r="E44" i="7"/>
  <c r="D44" i="7"/>
  <c r="F44" i="7" s="1"/>
  <c r="G43" i="7"/>
  <c r="E43" i="7"/>
  <c r="D43" i="7"/>
  <c r="F43" i="7" s="1"/>
  <c r="G42" i="7"/>
  <c r="D42" i="7"/>
  <c r="F42" i="7" s="1"/>
  <c r="G41" i="7"/>
  <c r="D41" i="7"/>
  <c r="F41" i="7" s="1"/>
  <c r="G40" i="7"/>
  <c r="D40" i="7"/>
  <c r="E40" i="7" s="1"/>
  <c r="G39" i="7"/>
  <c r="D39" i="7"/>
  <c r="F39" i="7" s="1"/>
  <c r="G38" i="7"/>
  <c r="D38" i="7"/>
  <c r="F38" i="7" s="1"/>
  <c r="G37" i="7"/>
  <c r="D37" i="7"/>
  <c r="F37" i="7" s="1"/>
  <c r="G36" i="7"/>
  <c r="D36" i="7"/>
  <c r="E36" i="7" s="1"/>
  <c r="G35" i="7"/>
  <c r="D35" i="7"/>
  <c r="F35" i="7" s="1"/>
  <c r="G34" i="7"/>
  <c r="D34" i="7"/>
  <c r="F34" i="7" s="1"/>
  <c r="G33" i="7"/>
  <c r="D33" i="7"/>
  <c r="F33" i="7" s="1"/>
  <c r="G32" i="7"/>
  <c r="D32" i="7"/>
  <c r="F32" i="7" s="1"/>
  <c r="G31" i="7"/>
  <c r="F31" i="7"/>
  <c r="E31" i="7"/>
  <c r="D31" i="7"/>
  <c r="G30" i="7"/>
  <c r="E30" i="7"/>
  <c r="D30" i="7"/>
  <c r="F30" i="7" s="1"/>
  <c r="G29" i="7"/>
  <c r="D29" i="7"/>
  <c r="F29" i="7" s="1"/>
  <c r="G28" i="7"/>
  <c r="D28" i="7"/>
  <c r="F28" i="7" s="1"/>
  <c r="G27" i="7"/>
  <c r="D27" i="7"/>
  <c r="E27" i="7" s="1"/>
  <c r="G26" i="7"/>
  <c r="D26" i="7"/>
  <c r="F26" i="7" s="1"/>
  <c r="G25" i="7"/>
  <c r="D25" i="7"/>
  <c r="F25" i="7" s="1"/>
  <c r="G24" i="7"/>
  <c r="D24" i="7"/>
  <c r="F24" i="7" s="1"/>
  <c r="G23" i="7"/>
  <c r="D23" i="7"/>
  <c r="F23" i="7" s="1"/>
  <c r="G22" i="7"/>
  <c r="D22" i="7"/>
  <c r="F22" i="7" s="1"/>
  <c r="G21" i="7"/>
  <c r="D21" i="7"/>
  <c r="F21" i="7" s="1"/>
  <c r="G20" i="7"/>
  <c r="D20" i="7"/>
  <c r="F20" i="7" s="1"/>
  <c r="G19" i="7"/>
  <c r="D19" i="7"/>
  <c r="F19" i="7" s="1"/>
  <c r="G18" i="7"/>
  <c r="D18" i="7"/>
  <c r="F18" i="7" s="1"/>
  <c r="G17" i="7"/>
  <c r="D17" i="7"/>
  <c r="F17" i="7" s="1"/>
  <c r="G16" i="7"/>
  <c r="D16" i="7"/>
  <c r="F16" i="7" s="1"/>
  <c r="G15" i="7"/>
  <c r="D15" i="7"/>
  <c r="F15" i="7" s="1"/>
  <c r="G14" i="7"/>
  <c r="D14" i="7"/>
  <c r="F14" i="7" s="1"/>
  <c r="G13" i="7"/>
  <c r="D13" i="7"/>
  <c r="F13" i="7" s="1"/>
  <c r="G12" i="7"/>
  <c r="F12" i="7"/>
  <c r="D12" i="7"/>
  <c r="E12" i="7" s="1"/>
  <c r="G11" i="7"/>
  <c r="D11" i="7"/>
  <c r="F11" i="7" s="1"/>
  <c r="G10" i="7"/>
  <c r="D10" i="7"/>
  <c r="F10" i="7" s="1"/>
  <c r="G9" i="7"/>
  <c r="D9" i="7"/>
  <c r="F9" i="7" s="1"/>
  <c r="G8" i="7"/>
  <c r="D8" i="7"/>
  <c r="F8" i="7" s="1"/>
  <c r="G7" i="7"/>
  <c r="D7" i="7"/>
  <c r="F7" i="7" s="1"/>
  <c r="G6" i="7"/>
  <c r="D6" i="7"/>
  <c r="F6" i="7" s="1"/>
  <c r="G5" i="7"/>
  <c r="D5" i="7"/>
  <c r="F5" i="7" s="1"/>
  <c r="G4" i="7"/>
  <c r="D4" i="7"/>
  <c r="F4" i="7" s="1"/>
  <c r="G3" i="7"/>
  <c r="D3" i="7"/>
  <c r="F3" i="7" s="1"/>
  <c r="G2" i="7"/>
  <c r="D2" i="7"/>
  <c r="F2" i="7" s="1"/>
  <c r="F31" i="6"/>
  <c r="H31" i="6" s="1"/>
  <c r="N22" i="6"/>
  <c r="M22" i="6"/>
  <c r="L22" i="6"/>
  <c r="K22" i="6"/>
  <c r="J22" i="6"/>
  <c r="I22" i="6"/>
  <c r="H22" i="6"/>
  <c r="G22" i="6"/>
  <c r="F22" i="6"/>
  <c r="E22" i="6"/>
  <c r="D22" i="6"/>
  <c r="C22" i="6"/>
  <c r="B22" i="6"/>
  <c r="N21" i="6"/>
  <c r="M21" i="6"/>
  <c r="L21" i="6"/>
  <c r="K21" i="6"/>
  <c r="J21" i="6"/>
  <c r="I21" i="6"/>
  <c r="H21" i="6"/>
  <c r="G21" i="6"/>
  <c r="F21" i="6"/>
  <c r="E21" i="6"/>
  <c r="D21" i="6"/>
  <c r="C21" i="6"/>
  <c r="B21" i="6"/>
  <c r="N20" i="6"/>
  <c r="M20" i="6"/>
  <c r="L20" i="6"/>
  <c r="K20" i="6"/>
  <c r="J20" i="6"/>
  <c r="I20" i="6"/>
  <c r="H20" i="6"/>
  <c r="G20" i="6"/>
  <c r="F20" i="6"/>
  <c r="E20" i="6"/>
  <c r="D20" i="6"/>
  <c r="C20" i="6"/>
  <c r="B20" i="6"/>
  <c r="N19" i="6"/>
  <c r="I35" i="6" s="1"/>
  <c r="M19" i="6"/>
  <c r="F35" i="6" s="1"/>
  <c r="H35" i="6" s="1"/>
  <c r="L19" i="6"/>
  <c r="C35" i="6" s="1"/>
  <c r="K19" i="6"/>
  <c r="J19" i="6"/>
  <c r="I19" i="6"/>
  <c r="H19" i="6"/>
  <c r="G19" i="6"/>
  <c r="F19" i="6"/>
  <c r="E19" i="6"/>
  <c r="D19" i="6"/>
  <c r="C19" i="6"/>
  <c r="B19" i="6"/>
  <c r="N18" i="6"/>
  <c r="I34" i="6" s="1"/>
  <c r="M18" i="6"/>
  <c r="F34" i="6" s="1"/>
  <c r="L18" i="6"/>
  <c r="C34" i="6" s="1"/>
  <c r="E34" i="6" s="1"/>
  <c r="K18" i="6"/>
  <c r="J18" i="6"/>
  <c r="I18" i="6"/>
  <c r="H18" i="6"/>
  <c r="G18" i="6"/>
  <c r="F18" i="6"/>
  <c r="E18" i="6"/>
  <c r="D18" i="6"/>
  <c r="C18" i="6"/>
  <c r="B18" i="6"/>
  <c r="N17" i="6"/>
  <c r="I33" i="6" s="1"/>
  <c r="M17" i="6"/>
  <c r="F33" i="6" s="1"/>
  <c r="L17" i="6"/>
  <c r="C33" i="6" s="1"/>
  <c r="K17" i="6"/>
  <c r="J17" i="6"/>
  <c r="I17" i="6"/>
  <c r="H17" i="6"/>
  <c r="G17" i="6"/>
  <c r="F17" i="6"/>
  <c r="E17" i="6"/>
  <c r="D17" i="6"/>
  <c r="C17" i="6"/>
  <c r="B17" i="6"/>
  <c r="N16" i="6"/>
  <c r="I32" i="6" s="1"/>
  <c r="K32" i="6" s="1"/>
  <c r="M16" i="6"/>
  <c r="F32" i="6" s="1"/>
  <c r="L16" i="6"/>
  <c r="C32" i="6" s="1"/>
  <c r="K16" i="6"/>
  <c r="J16" i="6"/>
  <c r="I16" i="6"/>
  <c r="H16" i="6"/>
  <c r="G16" i="6"/>
  <c r="F16" i="6"/>
  <c r="E16" i="6"/>
  <c r="D16" i="6"/>
  <c r="C16" i="6"/>
  <c r="B16" i="6"/>
  <c r="N15" i="6"/>
  <c r="I31" i="6" s="1"/>
  <c r="M15" i="6"/>
  <c r="L15" i="6"/>
  <c r="C31" i="6" s="1"/>
  <c r="K15" i="6"/>
  <c r="J15" i="6"/>
  <c r="I15" i="6"/>
  <c r="H15" i="6"/>
  <c r="G15" i="6"/>
  <c r="F15" i="6"/>
  <c r="E15" i="6"/>
  <c r="D15" i="6"/>
  <c r="C15" i="6"/>
  <c r="B15" i="6"/>
  <c r="N14" i="6"/>
  <c r="I30" i="6" s="1"/>
  <c r="M14" i="6"/>
  <c r="F30" i="6" s="1"/>
  <c r="L14" i="6"/>
  <c r="C30" i="6" s="1"/>
  <c r="K14" i="6"/>
  <c r="J14" i="6"/>
  <c r="I14" i="6"/>
  <c r="H14" i="6"/>
  <c r="G14" i="6"/>
  <c r="F14" i="6"/>
  <c r="E14" i="6"/>
  <c r="D14" i="6"/>
  <c r="C14" i="6"/>
  <c r="B14" i="6"/>
  <c r="N13" i="6"/>
  <c r="I29" i="6" s="1"/>
  <c r="M13" i="6"/>
  <c r="F29" i="6" s="1"/>
  <c r="L13" i="6"/>
  <c r="C29" i="6" s="1"/>
  <c r="K13" i="6"/>
  <c r="J13" i="6"/>
  <c r="I13" i="6"/>
  <c r="H13" i="6"/>
  <c r="G13" i="6"/>
  <c r="F13" i="6"/>
  <c r="E13" i="6"/>
  <c r="D13" i="6"/>
  <c r="C13" i="6"/>
  <c r="B13" i="6"/>
  <c r="N12" i="6"/>
  <c r="I28" i="6" s="1"/>
  <c r="M12" i="6"/>
  <c r="F28" i="6" s="1"/>
  <c r="L12" i="6"/>
  <c r="C28" i="6" s="1"/>
  <c r="K12" i="6"/>
  <c r="J12" i="6"/>
  <c r="I12" i="6"/>
  <c r="H12" i="6"/>
  <c r="G12" i="6"/>
  <c r="F12" i="6"/>
  <c r="E12" i="6"/>
  <c r="D12" i="6"/>
  <c r="C12" i="6"/>
  <c r="B12" i="6"/>
  <c r="N11" i="6"/>
  <c r="I27" i="6" s="1"/>
  <c r="M11" i="6"/>
  <c r="F27" i="6" s="1"/>
  <c r="L11" i="6"/>
  <c r="C27" i="6" s="1"/>
  <c r="K11" i="6"/>
  <c r="J11" i="6"/>
  <c r="I11" i="6"/>
  <c r="H11" i="6"/>
  <c r="G11" i="6"/>
  <c r="F11" i="6"/>
  <c r="E11" i="6"/>
  <c r="D11" i="6"/>
  <c r="C11" i="6"/>
  <c r="B11" i="6"/>
  <c r="N10" i="6"/>
  <c r="I26" i="6" s="1"/>
  <c r="M10" i="6"/>
  <c r="F26" i="6" s="1"/>
  <c r="L10" i="6"/>
  <c r="C26" i="6" s="1"/>
  <c r="K10" i="6"/>
  <c r="J10" i="6"/>
  <c r="I10" i="6"/>
  <c r="H10" i="6"/>
  <c r="G10" i="6"/>
  <c r="F10" i="6"/>
  <c r="E10" i="6"/>
  <c r="D10" i="6"/>
  <c r="C10" i="6"/>
  <c r="B10" i="6"/>
  <c r="B3" i="6"/>
  <c r="B5" i="6" s="1"/>
  <c r="B6" i="6" s="1"/>
  <c r="B7" i="6" s="1"/>
  <c r="B5" i="10" s="1"/>
  <c r="H16" i="5"/>
  <c r="G16" i="5"/>
  <c r="F16" i="5"/>
  <c r="E16" i="5"/>
  <c r="D16" i="5"/>
  <c r="C16" i="5"/>
  <c r="H15" i="5"/>
  <c r="G15" i="5"/>
  <c r="F15" i="5"/>
  <c r="E15" i="5"/>
  <c r="D15" i="5"/>
  <c r="C15" i="5"/>
  <c r="H14" i="5"/>
  <c r="G14" i="5"/>
  <c r="F14" i="5"/>
  <c r="E14" i="5"/>
  <c r="D14" i="5"/>
  <c r="C14" i="5"/>
  <c r="H13" i="5"/>
  <c r="G13" i="5"/>
  <c r="F13" i="5"/>
  <c r="E13" i="5"/>
  <c r="D13" i="5"/>
  <c r="C13" i="5"/>
  <c r="H12" i="5"/>
  <c r="G12" i="5"/>
  <c r="F12" i="5"/>
  <c r="E12" i="5"/>
  <c r="D12" i="5"/>
  <c r="C12" i="5"/>
  <c r="H11" i="5"/>
  <c r="G11" i="5"/>
  <c r="F11" i="5"/>
  <c r="E11" i="5"/>
  <c r="D11" i="5"/>
  <c r="C11" i="5"/>
  <c r="H10" i="5"/>
  <c r="G10" i="5"/>
  <c r="F10" i="5"/>
  <c r="E10" i="5"/>
  <c r="D10" i="5"/>
  <c r="C10" i="5"/>
  <c r="H9" i="5"/>
  <c r="G9" i="5"/>
  <c r="F9" i="5"/>
  <c r="E9" i="5"/>
  <c r="D9" i="5"/>
  <c r="C9" i="5"/>
  <c r="H8" i="5"/>
  <c r="G8" i="5"/>
  <c r="F8" i="5"/>
  <c r="E8" i="5"/>
  <c r="D8" i="5"/>
  <c r="C8" i="5"/>
  <c r="H7" i="5"/>
  <c r="G7" i="5"/>
  <c r="F7" i="5"/>
  <c r="E7" i="5"/>
  <c r="D7" i="5"/>
  <c r="C7" i="5"/>
  <c r="H6" i="5"/>
  <c r="G6" i="5"/>
  <c r="F6" i="5"/>
  <c r="E6" i="5"/>
  <c r="D6" i="5"/>
  <c r="C6" i="5"/>
  <c r="H5" i="5"/>
  <c r="G5" i="5"/>
  <c r="F5" i="5"/>
  <c r="E5" i="5"/>
  <c r="D5" i="5"/>
  <c r="C5" i="5"/>
  <c r="H4" i="5"/>
  <c r="G4" i="5"/>
  <c r="F4" i="5"/>
  <c r="E4" i="5"/>
  <c r="D4" i="5"/>
  <c r="C4" i="5"/>
  <c r="B8" i="4"/>
  <c r="B7" i="4"/>
  <c r="B6" i="4"/>
  <c r="B5" i="4"/>
  <c r="B4" i="4"/>
  <c r="E9" i="7" l="1"/>
  <c r="E18" i="7"/>
  <c r="E289" i="7"/>
  <c r="E293" i="7"/>
  <c r="E298" i="7"/>
  <c r="E335" i="7"/>
  <c r="E23" i="7"/>
  <c r="F36" i="7"/>
  <c r="F40" i="7"/>
  <c r="G9" i="8" s="1"/>
  <c r="E54" i="7"/>
  <c r="F63" i="7"/>
  <c r="F67" i="7"/>
  <c r="F85" i="7"/>
  <c r="F99" i="7"/>
  <c r="F108" i="7"/>
  <c r="F112" i="7"/>
  <c r="F126" i="7"/>
  <c r="F162" i="7"/>
  <c r="E167" i="7"/>
  <c r="F180" i="7"/>
  <c r="F184" i="7"/>
  <c r="F206" i="7"/>
  <c r="E215" i="7"/>
  <c r="F245" i="7"/>
  <c r="E263" i="7"/>
  <c r="F276" i="7"/>
  <c r="E285" i="7"/>
  <c r="E312" i="7"/>
  <c r="E350" i="7"/>
  <c r="F402" i="7"/>
  <c r="E59" i="7"/>
  <c r="F72" i="7"/>
  <c r="F76" i="7"/>
  <c r="E95" i="7"/>
  <c r="E122" i="7"/>
  <c r="E158" i="7"/>
  <c r="E198" i="7"/>
  <c r="E211" i="7"/>
  <c r="E232" i="7"/>
  <c r="E241" i="7"/>
  <c r="F254" i="7"/>
  <c r="F258" i="7"/>
  <c r="F267" i="7"/>
  <c r="F321" i="7"/>
  <c r="E340" i="7"/>
  <c r="F359" i="7"/>
  <c r="F378" i="7"/>
  <c r="E388" i="7"/>
  <c r="F49" i="7"/>
  <c r="E15" i="7"/>
  <c r="E24" i="7"/>
  <c r="E37" i="7"/>
  <c r="E46" i="7"/>
  <c r="E86" i="7"/>
  <c r="E109" i="7"/>
  <c r="E137" i="7"/>
  <c r="E168" i="7"/>
  <c r="E177" i="7"/>
  <c r="E181" i="7"/>
  <c r="E277" i="7"/>
  <c r="E308" i="7"/>
  <c r="F317" i="7"/>
  <c r="E332" i="7"/>
  <c r="E370" i="7"/>
  <c r="E398" i="7"/>
  <c r="E6" i="7"/>
  <c r="E29" i="7"/>
  <c r="E33" i="7"/>
  <c r="E60" i="7"/>
  <c r="E73" i="7"/>
  <c r="E313" i="7"/>
  <c r="E322" i="7"/>
  <c r="F341" i="7"/>
  <c r="F360" i="7"/>
  <c r="F375" i="7"/>
  <c r="E80" i="7"/>
  <c r="F144" i="7"/>
  <c r="F148" i="7"/>
  <c r="E153" i="7"/>
  <c r="E202" i="7"/>
  <c r="E236" i="7"/>
  <c r="E20" i="7"/>
  <c r="E65" i="7"/>
  <c r="E69" i="7"/>
  <c r="E101" i="7"/>
  <c r="E191" i="7"/>
  <c r="F195" i="7"/>
  <c r="E247" i="7"/>
  <c r="E287" i="7"/>
  <c r="B12" i="10"/>
  <c r="F27" i="7"/>
  <c r="F171" i="7"/>
  <c r="E234" i="7"/>
  <c r="E278" i="7"/>
  <c r="E300" i="7"/>
  <c r="E352" i="7"/>
  <c r="E371" i="7"/>
  <c r="E386" i="7"/>
  <c r="F9" i="8"/>
  <c r="F209" i="7"/>
  <c r="E217" i="7"/>
  <c r="E221" i="7"/>
  <c r="E226" i="7"/>
  <c r="E283" i="7"/>
  <c r="F323" i="7"/>
  <c r="F342" i="7"/>
  <c r="F357" i="7"/>
  <c r="E131" i="7"/>
  <c r="E66" i="7"/>
  <c r="E189" i="7"/>
  <c r="E3" i="7"/>
  <c r="E39" i="7"/>
  <c r="E111" i="7"/>
  <c r="E116" i="7"/>
  <c r="E166" i="7"/>
  <c r="E270" i="7"/>
  <c r="H26" i="6"/>
  <c r="G26" i="6"/>
  <c r="D27" i="6"/>
  <c r="E27" i="6"/>
  <c r="K26" i="6"/>
  <c r="J26" i="6"/>
  <c r="H27" i="6"/>
  <c r="G27" i="6"/>
  <c r="E28" i="6"/>
  <c r="D28" i="6"/>
  <c r="B6" i="10"/>
  <c r="E29" i="6"/>
  <c r="D29" i="6"/>
  <c r="H29" i="6"/>
  <c r="G29" i="6"/>
  <c r="G10" i="8"/>
  <c r="K35" i="6"/>
  <c r="J35" i="6"/>
  <c r="M31" i="9"/>
  <c r="L31" i="9" s="1"/>
  <c r="M25" i="9"/>
  <c r="L25" i="9" s="1"/>
  <c r="M30" i="9"/>
  <c r="L30" i="9" s="1"/>
  <c r="M24" i="9"/>
  <c r="L24" i="9" s="1"/>
  <c r="M29" i="9"/>
  <c r="L29" i="9" s="1"/>
  <c r="M28" i="9"/>
  <c r="L28" i="9" s="1"/>
  <c r="M22" i="9"/>
  <c r="L22" i="9" s="1"/>
  <c r="M27" i="9"/>
  <c r="L27" i="9" s="1"/>
  <c r="M26" i="9"/>
  <c r="L26" i="9" s="1"/>
  <c r="M23" i="9"/>
  <c r="L23" i="9" s="1"/>
  <c r="E26" i="6"/>
  <c r="D26" i="6"/>
  <c r="J29" i="6"/>
  <c r="K29" i="6"/>
  <c r="K31" i="6"/>
  <c r="J31" i="6"/>
  <c r="G32" i="6"/>
  <c r="H32" i="6"/>
  <c r="E33" i="6"/>
  <c r="D33" i="6"/>
  <c r="K28" i="6"/>
  <c r="J28" i="6"/>
  <c r="D31" i="6"/>
  <c r="E31" i="6"/>
  <c r="K27" i="6"/>
  <c r="J27" i="6"/>
  <c r="H30" i="6"/>
  <c r="G30" i="6"/>
  <c r="E32" i="6"/>
  <c r="D32" i="6"/>
  <c r="J33" i="6"/>
  <c r="K33" i="6"/>
  <c r="D35" i="6"/>
  <c r="E35" i="6"/>
  <c r="G28" i="6"/>
  <c r="H28" i="6"/>
  <c r="E30" i="6"/>
  <c r="D30" i="6"/>
  <c r="K30" i="6"/>
  <c r="J30" i="6"/>
  <c r="H33" i="6"/>
  <c r="G33" i="6"/>
  <c r="H34" i="6"/>
  <c r="G34" i="6"/>
  <c r="K34" i="6"/>
  <c r="J34" i="6"/>
  <c r="F237" i="7"/>
  <c r="E237" i="7"/>
  <c r="E21" i="7"/>
  <c r="E34" i="7"/>
  <c r="E47" i="7"/>
  <c r="E57" i="7"/>
  <c r="E70" i="7"/>
  <c r="E83" i="7"/>
  <c r="E93" i="7"/>
  <c r="E106" i="7"/>
  <c r="E119" i="7"/>
  <c r="E129" i="7"/>
  <c r="E142" i="7"/>
  <c r="E155" i="7"/>
  <c r="E165" i="7"/>
  <c r="E178" i="7"/>
  <c r="E188" i="7"/>
  <c r="F199" i="7"/>
  <c r="E199" i="7"/>
  <c r="E229" i="7"/>
  <c r="E233" i="7"/>
  <c r="B13" i="8"/>
  <c r="F214" i="7"/>
  <c r="E214" i="7"/>
  <c r="F238" i="7"/>
  <c r="E238" i="7"/>
  <c r="F318" i="7"/>
  <c r="E318" i="7"/>
  <c r="F346" i="7"/>
  <c r="E346" i="7"/>
  <c r="G31" i="6"/>
  <c r="J32" i="6"/>
  <c r="D34" i="6"/>
  <c r="G35" i="6"/>
  <c r="E28" i="7"/>
  <c r="E41" i="7"/>
  <c r="E51" i="7"/>
  <c r="E64" i="7"/>
  <c r="E77" i="7"/>
  <c r="E87" i="7"/>
  <c r="E100" i="7"/>
  <c r="E113" i="7"/>
  <c r="E123" i="7"/>
  <c r="E136" i="7"/>
  <c r="E149" i="7"/>
  <c r="E159" i="7"/>
  <c r="E172" i="7"/>
  <c r="E185" i="7"/>
  <c r="E203" i="7"/>
  <c r="E262" i="7"/>
  <c r="F275" i="7"/>
  <c r="F305" i="7"/>
  <c r="E305" i="7"/>
  <c r="F328" i="7"/>
  <c r="E328" i="7"/>
  <c r="F361" i="7"/>
  <c r="E361" i="7"/>
  <c r="E25" i="7"/>
  <c r="E38" i="7"/>
  <c r="E48" i="7"/>
  <c r="E61" i="7"/>
  <c r="E74" i="7"/>
  <c r="E84" i="7"/>
  <c r="E97" i="7"/>
  <c r="E110" i="7"/>
  <c r="E120" i="7"/>
  <c r="E133" i="7"/>
  <c r="E146" i="7"/>
  <c r="E156" i="7"/>
  <c r="E169" i="7"/>
  <c r="E182" i="7"/>
  <c r="H11" i="8" s="1"/>
  <c r="E11" i="8" s="1"/>
  <c r="E200" i="7"/>
  <c r="F230" i="7"/>
  <c r="E246" i="7"/>
  <c r="F288" i="7"/>
  <c r="F400" i="7"/>
  <c r="E400" i="7"/>
  <c r="E22" i="7"/>
  <c r="E35" i="7"/>
  <c r="E45" i="7"/>
  <c r="E58" i="7"/>
  <c r="E71" i="7"/>
  <c r="E81" i="7"/>
  <c r="F10" i="8"/>
  <c r="E94" i="7"/>
  <c r="E107" i="7"/>
  <c r="E117" i="7"/>
  <c r="E130" i="7"/>
  <c r="F301" i="7"/>
  <c r="E301" i="7"/>
  <c r="B27" i="8"/>
  <c r="F269" i="7"/>
  <c r="E269" i="7"/>
  <c r="E4" i="7"/>
  <c r="E7" i="7"/>
  <c r="E10" i="7"/>
  <c r="E13" i="7"/>
  <c r="E16" i="7"/>
  <c r="E19" i="7"/>
  <c r="E32" i="7"/>
  <c r="E42" i="7"/>
  <c r="E55" i="7"/>
  <c r="E68" i="7"/>
  <c r="E78" i="7"/>
  <c r="E91" i="7"/>
  <c r="E104" i="7"/>
  <c r="E114" i="7"/>
  <c r="E127" i="7"/>
  <c r="E140" i="7"/>
  <c r="E150" i="7"/>
  <c r="E163" i="7"/>
  <c r="E176" i="7"/>
  <c r="E186" i="7"/>
  <c r="F207" i="7"/>
  <c r="F311" i="7"/>
  <c r="F343" i="7"/>
  <c r="E343" i="7"/>
  <c r="F382" i="7"/>
  <c r="E382" i="7"/>
  <c r="F379" i="7"/>
  <c r="E379" i="7"/>
  <c r="E223" i="7"/>
  <c r="E26" i="7"/>
  <c r="E62" i="7"/>
  <c r="E98" i="7"/>
  <c r="E134" i="7"/>
  <c r="E170" i="7"/>
  <c r="E193" i="7"/>
  <c r="E197" i="7"/>
  <c r="F208" i="7"/>
  <c r="E208" i="7"/>
  <c r="E212" i="7"/>
  <c r="F243" i="7"/>
  <c r="E259" i="7"/>
  <c r="F295" i="7"/>
  <c r="E295" i="7"/>
  <c r="F224" i="7"/>
  <c r="E224" i="7"/>
  <c r="F248" i="7"/>
  <c r="E248" i="7"/>
  <c r="F325" i="7"/>
  <c r="E325" i="7"/>
  <c r="F364" i="7"/>
  <c r="E364" i="7"/>
  <c r="F397" i="7"/>
  <c r="E397" i="7"/>
  <c r="B4" i="10"/>
  <c r="E2" i="7"/>
  <c r="E5" i="7"/>
  <c r="E8" i="7"/>
  <c r="E11" i="7"/>
  <c r="E14" i="7"/>
  <c r="E17" i="7"/>
  <c r="E92" i="7"/>
  <c r="E102" i="7"/>
  <c r="E115" i="7"/>
  <c r="E128" i="7"/>
  <c r="E138" i="7"/>
  <c r="E151" i="7"/>
  <c r="E164" i="7"/>
  <c r="E174" i="7"/>
  <c r="F11" i="8"/>
  <c r="E187" i="7"/>
  <c r="F220" i="7"/>
  <c r="E220" i="7"/>
  <c r="E252" i="7"/>
  <c r="E53" i="7"/>
  <c r="E89" i="7"/>
  <c r="E125" i="7"/>
  <c r="E161" i="7"/>
  <c r="F194" i="7"/>
  <c r="F225" i="7"/>
  <c r="E225" i="7"/>
  <c r="F12" i="8"/>
  <c r="F256" i="7"/>
  <c r="E256" i="7"/>
  <c r="F282" i="7"/>
  <c r="E282" i="7"/>
  <c r="B48" i="8"/>
  <c r="C56" i="8" s="1"/>
  <c r="B39" i="8"/>
  <c r="C27" i="8"/>
  <c r="E266" i="7"/>
  <c r="E279" i="7"/>
  <c r="E292" i="7"/>
  <c r="E302" i="7"/>
  <c r="E315" i="7"/>
  <c r="E329" i="7"/>
  <c r="F336" i="7"/>
  <c r="E347" i="7"/>
  <c r="F354" i="7"/>
  <c r="E365" i="7"/>
  <c r="F372" i="7"/>
  <c r="E383" i="7"/>
  <c r="F390" i="7"/>
  <c r="E401" i="7"/>
  <c r="E394" i="7"/>
  <c r="E250" i="7"/>
  <c r="E260" i="7"/>
  <c r="E273" i="7"/>
  <c r="E286" i="7"/>
  <c r="E296" i="7"/>
  <c r="E309" i="7"/>
  <c r="E326" i="7"/>
  <c r="F333" i="7"/>
  <c r="E344" i="7"/>
  <c r="F351" i="7"/>
  <c r="E362" i="7"/>
  <c r="F369" i="7"/>
  <c r="E380" i="7"/>
  <c r="E355" i="7"/>
  <c r="E373" i="7"/>
  <c r="E391" i="7"/>
  <c r="E244" i="7"/>
  <c r="H12" i="8" s="1"/>
  <c r="E12" i="8" s="1"/>
  <c r="E280" i="7"/>
  <c r="E316" i="7"/>
  <c r="F330" i="7"/>
  <c r="F348" i="7"/>
  <c r="F366" i="7"/>
  <c r="F384" i="7"/>
  <c r="E261" i="7"/>
  <c r="E274" i="7"/>
  <c r="E284" i="7"/>
  <c r="E297" i="7"/>
  <c r="E310" i="7"/>
  <c r="E320" i="7"/>
  <c r="F327" i="7"/>
  <c r="E338" i="7"/>
  <c r="F345" i="7"/>
  <c r="E356" i="7"/>
  <c r="F363" i="7"/>
  <c r="E374" i="7"/>
  <c r="F381" i="7"/>
  <c r="E392" i="7"/>
  <c r="F399" i="7"/>
  <c r="E406" i="7"/>
  <c r="E235" i="7"/>
  <c r="E271" i="7"/>
  <c r="E307" i="7"/>
  <c r="E331" i="7"/>
  <c r="E349" i="7"/>
  <c r="E367" i="7"/>
  <c r="E385" i="7"/>
  <c r="E403" i="7"/>
  <c r="G11" i="8" l="1"/>
  <c r="G12" i="8"/>
  <c r="D11" i="8"/>
  <c r="I11" i="8"/>
  <c r="D12" i="8"/>
  <c r="I12" i="8"/>
  <c r="C37" i="6"/>
  <c r="B7" i="10" s="1"/>
  <c r="B45" i="8"/>
  <c r="C29" i="8"/>
  <c r="C28" i="8"/>
  <c r="G27" i="8" s="1"/>
  <c r="B46" i="8"/>
  <c r="B18" i="8"/>
  <c r="B19" i="8" s="1"/>
  <c r="H10" i="8"/>
  <c r="E10" i="8" s="1"/>
  <c r="B31" i="8"/>
  <c r="B11" i="10" s="1"/>
  <c r="D27" i="8"/>
  <c r="H9" i="8"/>
  <c r="B20" i="8" l="1"/>
  <c r="B21" i="8" s="1"/>
  <c r="D10" i="8"/>
  <c r="I10" i="8"/>
  <c r="C54" i="8"/>
  <c r="B47" i="8"/>
  <c r="B28" i="8"/>
  <c r="E9" i="8"/>
  <c r="B22" i="8" l="1"/>
  <c r="B23" i="8" s="1"/>
  <c r="D28" i="8"/>
  <c r="E27" i="8" s="1"/>
  <c r="B30" i="8"/>
  <c r="B49" i="8"/>
  <c r="D56" i="8" s="1"/>
  <c r="E56" i="8" s="1"/>
  <c r="B56" i="8"/>
  <c r="D9" i="8"/>
  <c r="B15" i="8" s="1"/>
  <c r="I9" i="8"/>
  <c r="J9" i="8" l="1"/>
  <c r="B35" i="8"/>
  <c r="B36" i="8" s="1"/>
  <c r="J12" i="8"/>
  <c r="J11" i="8"/>
  <c r="B14" i="10"/>
  <c r="J10" i="8"/>
  <c r="B9" i="10"/>
  <c r="B54" i="8"/>
  <c r="F27" i="8"/>
  <c r="B8" i="10"/>
  <c r="B10" i="10" l="1"/>
  <c r="D54" i="8"/>
  <c r="E54" i="8" s="1"/>
  <c r="B32" i="8"/>
  <c r="B15" i="10" s="1"/>
  <c r="B37" i="8"/>
  <c r="B40" i="8" s="1"/>
  <c r="C55" i="8" s="1"/>
  <c r="B38" i="8" l="1"/>
  <c r="B55" i="8" l="1"/>
  <c r="B41" i="8"/>
  <c r="D55" i="8" s="1"/>
  <c r="E55" i="8" s="1"/>
  <c r="B13" i="10" l="1"/>
</calcChain>
</file>

<file path=xl/sharedStrings.xml><?xml version="1.0" encoding="utf-8"?>
<sst xmlns="http://schemas.openxmlformats.org/spreadsheetml/2006/main" count="337" uniqueCount="249">
  <si>
    <t>CS0073 Technical Assessment, Module 2: Diagnostic Analytics and Statistical Inference</t>
  </si>
  <si>
    <t>Name</t>
  </si>
  <si>
    <t>Dawn Andrei Pamesa</t>
  </si>
  <si>
    <t>Section</t>
  </si>
  <si>
    <t>TS31</t>
  </si>
  <si>
    <t>Professor</t>
  </si>
  <si>
    <t>Jeneffer Sabonsolin</t>
  </si>
  <si>
    <t>Date Performed</t>
  </si>
  <si>
    <t>September 28, 2026</t>
  </si>
  <si>
    <t>Date Submitted</t>
  </si>
  <si>
    <t>Dataset</t>
  </si>
  <si>
    <t>Customer_Satisfaction.xlsx: restaurant survey, 405 respondents, 13 items on a 1 to 7 scale</t>
  </si>
  <si>
    <t>Companion file</t>
  </si>
  <si>
    <t>PAMESA - M2-Technical - Full.ipynb (same analysis in Python, plus Tukey post-hoc, Shapiro-Wilk and Spearman, which Excel cannot compute directly)</t>
  </si>
  <si>
    <t>Sheets, in order</t>
  </si>
  <si>
    <t>Questions</t>
  </si>
  <si>
    <t>The codebook: what each item x12 to x24 asks.</t>
  </si>
  <si>
    <t>Data</t>
  </si>
  <si>
    <t>The 405 survey responses (id and x12 to x24), copied from the dataset.</t>
  </si>
  <si>
    <t>Cleaning</t>
  </si>
  <si>
    <t>Data quality checks: missing values, duplicate ids, impossible answers.</t>
  </si>
  <si>
    <t>Descriptives</t>
  </si>
  <si>
    <t>Count, mean, SD, median, min and max of every item.</t>
  </si>
  <si>
    <t>Correlation</t>
  </si>
  <si>
    <t>Part A: 13 x 13 Pearson correlation matrix and the table of each perception vs the three outcomes, with p-values.</t>
  </si>
  <si>
    <t>ANOVA Data</t>
  </si>
  <si>
    <t>Freshness (x15) and satisfaction (x22) sorted by freshness, with helper columns.</t>
  </si>
  <si>
    <t>ANOVA</t>
  </si>
  <si>
    <t>Part B: hypotheses, group statistics, Levene's test, one-way ANOVA, Welch's ANOVA, Kruskal-Wallis.</t>
  </si>
  <si>
    <t>Charts</t>
  </si>
  <si>
    <t>Mean satisfaction by freshness level; correlation of each perception with satisfaction.</t>
  </si>
  <si>
    <t>Summary</t>
  </si>
  <si>
    <t>Every key number in one place, with a plain-language note on how to defend it.</t>
  </si>
  <si>
    <t>AI Appendix</t>
  </si>
  <si>
    <t>AI tools and prompts used, verification steps and corrections.</t>
  </si>
  <si>
    <t>Color key</t>
  </si>
  <si>
    <t>Blue text</t>
  </si>
  <si>
    <t>Raw data or a value you may change (such as alpha)</t>
  </si>
  <si>
    <t>Black text</t>
  </si>
  <si>
    <t>Formula</t>
  </si>
  <si>
    <t>Green text</t>
  </si>
  <si>
    <t>Formula that links to another sheet</t>
  </si>
  <si>
    <t>Codebook (from the dataset's Questions sheet)</t>
  </si>
  <si>
    <t>Code</t>
  </si>
  <si>
    <t>Question</t>
  </si>
  <si>
    <t>Scale</t>
  </si>
  <si>
    <t>x12</t>
  </si>
  <si>
    <t>The restaurant has friendly employees</t>
  </si>
  <si>
    <t>1 = Strongly Disagree ... 7 = Strongly Agree</t>
  </si>
  <si>
    <t>x13</t>
  </si>
  <si>
    <t>The restaurant is a fun place to eat</t>
  </si>
  <si>
    <t>x14</t>
  </si>
  <si>
    <t>The restaurant has large size portions</t>
  </si>
  <si>
    <t>x15</t>
  </si>
  <si>
    <t>The restaurant has fresh food</t>
  </si>
  <si>
    <t>x16</t>
  </si>
  <si>
    <t>The restaurant has reasonable prices</t>
  </si>
  <si>
    <t>x17</t>
  </si>
  <si>
    <t>The restaurant has an attractive interior</t>
  </si>
  <si>
    <t>x18</t>
  </si>
  <si>
    <t>The restaurant has excellent food taste</t>
  </si>
  <si>
    <t>x19</t>
  </si>
  <si>
    <t>The restaurant has knowledgeable employees</t>
  </si>
  <si>
    <t>x20</t>
  </si>
  <si>
    <t>The restaurant serves food at the proper temperature</t>
  </si>
  <si>
    <t>x21</t>
  </si>
  <si>
    <t>The restaurant has quick service</t>
  </si>
  <si>
    <t>x22</t>
  </si>
  <si>
    <t>Satisfaction rating</t>
  </si>
  <si>
    <t>1 = Not Satisfied at all ... 7 = Very Satisfied</t>
  </si>
  <si>
    <t>x23</t>
  </si>
  <si>
    <t>Likelihood to return</t>
  </si>
  <si>
    <t>1 = Definitely Will Not Return ... 7 = Definitely Will Return</t>
  </si>
  <si>
    <t>x24</t>
  </si>
  <si>
    <t>Likelihood to recommend</t>
  </si>
  <si>
    <t>1 = Definitely Will Not Recommend ... 7 = Definitely Will Recommend</t>
  </si>
  <si>
    <t>id</t>
  </si>
  <si>
    <t>Copied from Customer_Satisfaction.xlsx, sheet Survey Responses, columns A to N.</t>
  </si>
  <si>
    <t>Columns O to Q of that sheet hold the instructor's task note, not responses, so they are not copied.</t>
  </si>
  <si>
    <t>Data Cleaning Checks</t>
  </si>
  <si>
    <t>All checks should read 405 rows and 0 problems.</t>
  </si>
  <si>
    <t>Check</t>
  </si>
  <si>
    <t>Result</t>
  </si>
  <si>
    <t>What the formula does</t>
  </si>
  <si>
    <t>Rows (respondents)</t>
  </si>
  <si>
    <t>Counts the ids.</t>
  </si>
  <si>
    <t>Missing values</t>
  </si>
  <si>
    <t>Counts empty cells in x12 to x24.</t>
  </si>
  <si>
    <t>Rows that share an id</t>
  </si>
  <si>
    <t>Counts rows whose id appears more than once.</t>
  </si>
  <si>
    <t>Answers outside 1 to 7</t>
  </si>
  <si>
    <t>Counts impossible answers.</t>
  </si>
  <si>
    <t>Non-whole-number answers</t>
  </si>
  <si>
    <t>Counts answers with decimals.</t>
  </si>
  <si>
    <t>Descriptive Statistics</t>
  </si>
  <si>
    <t>Every item is on a 1 to 7 scale.</t>
  </si>
  <si>
    <t>n</t>
  </si>
  <si>
    <t>Mean</t>
  </si>
  <si>
    <t>SD</t>
  </si>
  <si>
    <t>Median</t>
  </si>
  <si>
    <t>Min</t>
  </si>
  <si>
    <t>Max</t>
  </si>
  <si>
    <t>Friendly employees</t>
  </si>
  <si>
    <t>Fun place to eat</t>
  </si>
  <si>
    <t>Large portions</t>
  </si>
  <si>
    <t>Fresh food</t>
  </si>
  <si>
    <t>Reasonable prices</t>
  </si>
  <si>
    <t>Attractive interior</t>
  </si>
  <si>
    <t>Excellent food taste</t>
  </si>
  <si>
    <t>Knowledgeable employees</t>
  </si>
  <si>
    <t>Proper food temperature</t>
  </si>
  <si>
    <t>Quick service</t>
  </si>
  <si>
    <t>Satisfaction</t>
  </si>
  <si>
    <t>Likely to return</t>
  </si>
  <si>
    <t>Likely to recommend</t>
  </si>
  <si>
    <t>Part A. Pearson Correlation Analysis</t>
  </si>
  <si>
    <t>Task in the dataset: correlate the perception indicators with each other and with satisfaction, return and recommend.</t>
  </si>
  <si>
    <t>n (respondents)</t>
  </si>
  <si>
    <t>Alpha</t>
  </si>
  <si>
    <t>df = n - 2</t>
  </si>
  <si>
    <t>Critical t (two-tailed)</t>
  </si>
  <si>
    <t>Critical r (smallest significant |r|)</t>
  </si>
  <si>
    <t>x12  Friendly employees</t>
  </si>
  <si>
    <t>x13  Fun place to eat</t>
  </si>
  <si>
    <t>x14  Large portions</t>
  </si>
  <si>
    <t>x15  Fresh food</t>
  </si>
  <si>
    <t>x16  Reasonable prices</t>
  </si>
  <si>
    <t>x17  Attractive interior</t>
  </si>
  <si>
    <t>x18  Excellent food taste</t>
  </si>
  <si>
    <t>x19  Knowledgeable employees</t>
  </si>
  <si>
    <t>x20  Proper food temperature</t>
  </si>
  <si>
    <t>x21  Quick service</t>
  </si>
  <si>
    <t>x22  Satisfaction</t>
  </si>
  <si>
    <t>x23  Likely to return</t>
  </si>
  <si>
    <t>x24  Likely to recommend</t>
  </si>
  <si>
    <t>Color: blue = positive, red = negative, grey = near zero. Diagonal = 1 (an item with itself).</t>
  </si>
  <si>
    <t>Indicator</t>
  </si>
  <si>
    <t>r with x22</t>
  </si>
  <si>
    <t>p</t>
  </si>
  <si>
    <t>Strength</t>
  </si>
  <si>
    <t>r with x23</t>
  </si>
  <si>
    <t>r with x24</t>
  </si>
  <si>
    <t>Significant at alpha (out of 30)</t>
  </si>
  <si>
    <t>Strength labels (rule of thumb): below 0.10 negligible, 0.10 to 0.29 weak, 0.30 to 0.49 moderate, 0.50 to 0.69 strong, 0.70 and up very strong.</t>
  </si>
  <si>
    <t>Spearman (rank) correlations, a robustness check, are in the notebook; they never differ from Pearson by more than 0.07.</t>
  </si>
  <si>
    <t>x15 freshness (group)</t>
  </si>
  <si>
    <t>x22 satisfaction</t>
  </si>
  <si>
    <t>Group mean of x22</t>
  </si>
  <si>
    <t>Squared deviation from group mean</t>
  </si>
  <si>
    <t>|Deviation| (for Levene)</t>
  </si>
  <si>
    <t>Rank of x22 (for Kruskal-Wallis)</t>
  </si>
  <si>
    <t>Columns A to C are copied from the Data sheet and sorted by freshness, then id.</t>
  </si>
  <si>
    <t>Ties get the average rank (RANK.AVG), as Kruskal-Wallis requires.</t>
  </si>
  <si>
    <t>Part B. One-Way ANOVA: Satisfaction (x22) Across Freshness Levels (x15)</t>
  </si>
  <si>
    <t>Research question: does customer satisfaction differ across levels of perceived food freshness?  H0: mean satisfaction is equal at every freshness level.  H1: at least one level differs.</t>
  </si>
  <si>
    <t>Number of groups (k)</t>
  </si>
  <si>
    <t>Freshness level</t>
  </si>
  <si>
    <t>Mean x22</t>
  </si>
  <si>
    <t>Variance</t>
  </si>
  <si>
    <t>Sum of ranks</t>
  </si>
  <si>
    <t>Mean |dev|</t>
  </si>
  <si>
    <t>SS within</t>
  </si>
  <si>
    <t>Welch weight n/var</t>
  </si>
  <si>
    <t>Welch lambda term</t>
  </si>
  <si>
    <t>All</t>
  </si>
  <si>
    <t>Largest SD / smallest SD</t>
  </si>
  <si>
    <t>Levene's test (mean-centered): one-way ANOVA on |x22 - group mean|</t>
  </si>
  <si>
    <t>Grand mean of |dev|</t>
  </si>
  <si>
    <t>SS between (|dev|)</t>
  </si>
  <si>
    <t>SS within (|dev|)</t>
  </si>
  <si>
    <t>Levene F</t>
  </si>
  <si>
    <t>p-value</t>
  </si>
  <si>
    <t>Equal variances?</t>
  </si>
  <si>
    <t>One-way ANOVA table</t>
  </si>
  <si>
    <t>Source</t>
  </si>
  <si>
    <t>SS</t>
  </si>
  <si>
    <t>df</t>
  </si>
  <si>
    <t>MS</t>
  </si>
  <si>
    <t>F</t>
  </si>
  <si>
    <t>F critical</t>
  </si>
  <si>
    <t>Between groups (freshness)</t>
  </si>
  <si>
    <t>Within groups (error)</t>
  </si>
  <si>
    <t>Total</t>
  </si>
  <si>
    <t>Check: SS between + SS within - SS total (should be 0)</t>
  </si>
  <si>
    <t>Effect size: eta squared = SS between / SS total</t>
  </si>
  <si>
    <t>Decision at alpha</t>
  </si>
  <si>
    <t>Remedy 1. Welch's ANOVA (does not assume equal variances)</t>
  </si>
  <si>
    <t>Weighted grand mean</t>
  </si>
  <si>
    <t>Between term A</t>
  </si>
  <si>
    <t>Lambda</t>
  </si>
  <si>
    <t>Welch F</t>
  </si>
  <si>
    <t>df1</t>
  </si>
  <si>
    <t>df2</t>
  </si>
  <si>
    <t>Excel's F.DIST.RT rounds df2 down to a whole number (176), so this p differs from Python's in the far decimal places; the decision is the same.</t>
  </si>
  <si>
    <t>Remedy 2. Kruskal-Wallis test (compares ranks; no normality or equal-variance assumption)</t>
  </si>
  <si>
    <t>x22 value</t>
  </si>
  <si>
    <t>Count (ties)</t>
  </si>
  <si>
    <t>t^3 - t</t>
  </si>
  <si>
    <t>H before tie correction</t>
  </si>
  <si>
    <t>Tie correction</t>
  </si>
  <si>
    <t>H (corrected)</t>
  </si>
  <si>
    <t>Summary of the three tests</t>
  </si>
  <si>
    <t>Test</t>
  </si>
  <si>
    <t>Statistic</t>
  </si>
  <si>
    <t>Standard one-way ANOVA (F)</t>
  </si>
  <si>
    <t>Welch's ANOVA (F)</t>
  </si>
  <si>
    <t>Kruskal-Wallis (H)</t>
  </si>
  <si>
    <t>Post-hoc (which pairs differ): Tukey's HSD is in the notebook, because Excel has no studentized range function. Normality (Shapiro-Wilk) is also tested in the notebook.</t>
  </si>
  <si>
    <t>Perception (sorted)</t>
  </si>
  <si>
    <t>r with satisfaction</t>
  </si>
  <si>
    <t>Sorted with SMALL and INDEX/MATCH, so the chart updates if the data change.</t>
  </si>
  <si>
    <t>Key Results and How to Defend Them</t>
  </si>
  <si>
    <t>Value</t>
  </si>
  <si>
    <t>How to defend this</t>
  </si>
  <si>
    <t>Rows / missing / duplicate ids / impossible answers</t>
  </si>
  <si>
    <t>The data needed no removals or imputation; only the non-data columns with the task note were left out.</t>
  </si>
  <si>
    <t>Critical r at alpha 0.05</t>
  </si>
  <si>
    <t>With 405 people, any |r| above this is significant, so judge correlations by their size, not their p-value.</t>
  </si>
  <si>
    <t>Strongest correlate of satisfaction: fresh food (r)</t>
  </si>
  <si>
    <t>Food quality (freshness, temperature, taste) is most closely tied to satisfaction; interior and atmosphere least.</t>
  </si>
  <si>
    <t>Correlations significant at alpha (out of 30)</t>
  </si>
  <si>
    <t>All are positive: every perception moves in the same direction as the outcomes.</t>
  </si>
  <si>
    <t>Levene F (p)</t>
  </si>
  <si>
    <t>Variances differ across groups (assumption violated), so Welch's ANOVA is used as a check.</t>
  </si>
  <si>
    <t>ANOVA F (df)</t>
  </si>
  <si>
    <t>F compares the spread between group means with the spread inside groups; this is far above F critical.</t>
  </si>
  <si>
    <t>ANOVA p-value</t>
  </si>
  <si>
    <t>Far below 0.05, so reject H0: mean satisfaction differs across freshness levels.</t>
  </si>
  <si>
    <t>Eta squared</t>
  </si>
  <si>
    <t>Freshness level explains about this share of the variation in satisfaction: a large effect (0.14 and up).</t>
  </si>
  <si>
    <t>Mean satisfaction at freshness 4 and 7</t>
  </si>
  <si>
    <t>Practical importance: more than a full scale step between the lowest and highest freshness ratings.</t>
  </si>
  <si>
    <t>Welch F (p)</t>
  </si>
  <si>
    <t>Same conclusion without assuming equal variances.</t>
  </si>
  <si>
    <t>Kruskal-Wallis H (p)</t>
  </si>
  <si>
    <t>Same conclusion without assuming normality.</t>
  </si>
  <si>
    <t>Conclusion</t>
  </si>
  <si>
    <t>Survey data: this shows association, not cause. Freshness overlaps with taste (r = 0.79). Next step: separate freshness from taste.</t>
  </si>
  <si>
    <t>Appendix: AI Tools and Prompts</t>
  </si>
  <si>
    <t>Tool: Claude Code (Anthropic), model Claude Opus 5.5, run on my own computer. It wrote the Python code and these Excel formulas, ran them, and drafted the explanations.</t>
  </si>
  <si>
    <t>Prompt 1 (paraphrased): build the M2-Technical in a full version with executed code and a 'how to defend this' note beside each metric, p-value and chart, plus an AI appendix; a practice version with the work removed but instructions, hints and checks kept; and a one-page instruction sheet.</t>
  </si>
  <si>
    <t>Prompt 2: my answers to its questions: the dataset is Customer_Satisfaction.xlsx, I do the whole analysis, deliver a Jupyter notebook and an Excel workbook.</t>
  </si>
  <si>
    <t>Output: cleaning checks, correlation analysis, one-way ANOVA with assumption checks, Welch's ANOVA, Kruskal-Wallis, charts, report and Q&amp;A drafts.</t>
  </si>
  <si>
    <t>Verification 1: every value in this workbook was compared with the Python notebook; they match (Welch p differs only in far decimals because Excel rounds df2 down).</t>
  </si>
  <si>
    <t>Verification 2: SS between + SS within = SS total (row 30 of the ANOVA sheet is 0).</t>
  </si>
  <si>
    <t>Verification 3: the Python ANOVA computed by hand matched SciPy's built-in f_oneway exactly.</t>
  </si>
  <si>
    <t>Correction 1: SciPy's Levene test defaults to median-centering; it was switched to mean-centering so Python and Excel compute the same statistic. Both show unequal variances.</t>
  </si>
  <si>
    <t>Correction 2: the task-note columns in the raw sheet were excluded from the data.</t>
  </si>
  <si>
    <t>Correction 3: after the assumption checks failed, Welch's ANOVA and Kruskal-Wallis were added; the conclusion rests on all three tests agreeing.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</si>
</sst>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164" formatCode="0.000"/>
    <numFmt numFmtId="165" formatCode="0.0"/>
    <numFmt numFmtId="166" formatCode="0.0000"/>
    <numFmt numFmtId="167" formatCode="0.000000"/>
  </numFmts>
  <fonts count="7" x14ac:knownFonts="1">
    <font>
      <sz val="11"/>
      <color theme="1"/>
      <name val="Calibri"/>
      <family val="2"/>
      <scheme val="minor"/>
    </font>
    <font>
      <b/>
      <sz val="14"/>
      <name val="Arial"/>
    </font>
    <font>
      <b/>
      <sz val="10"/>
      <name val="Arial"/>
    </font>
    <font>
      <sz val="10"/>
      <name val="Arial"/>
    </font>
    <font>
      <sz val="10"/>
      <color rgb="FF0000FF"/>
      <name val="Arial"/>
    </font>
    <font>
      <sz val="10"/>
      <color rgb="FF008000"/>
      <name val="Arial"/>
    </font>
    <font>
      <i/>
      <sz val="9"/>
      <color rgb="FF52514E"/>
      <name val="Arial"/>
    </font>
  </fonts>
  <fills count="3">
    <fill>
      <patternFill patternType="none"/>
    </fill>
    <fill>
      <patternFill patternType="gray125"/>
    </fill>
    <fill>
      <patternFill patternType="solid">
        <fgColor rgb="FFE4E3DF"/>
      </patternFill>
    </fill>
  </fills>
  <borders count="2">
    <border>
      <left/>
      <right/>
      <top/>
      <bottom/>
      <diagonal/>
    </border>
    <border>
      <left style="thin">
        <color rgb="FFB8B7B2"/>
      </left>
      <right style="thin">
        <color rgb="FFB8B7B2"/>
      </right>
      <top style="thin">
        <color rgb="FFB8B7B2"/>
      </top>
      <bottom style="thin">
        <color rgb="FFB8B7B2"/>
      </bottom>
      <diagonal/>
    </border>
  </borders>
  <cellStyleXfs count="1">
    <xf numFmtId="0" fontId="0" fillId="0" borderId="0"/>
  </cellStyleXfs>
  <cellXfs count="34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5" fillId="0" borderId="0" xfId="0" applyFont="1"/>
    <xf numFmtId="0" fontId="2" fillId="2" borderId="1" xfId="0" applyFont="1" applyFill="1" applyBorder="1" applyAlignment="1">
      <alignment vertical="center" wrapText="1"/>
    </xf>
    <xf numFmtId="0" fontId="4" fillId="0" borderId="1" xfId="0" applyFont="1" applyBorder="1"/>
    <xf numFmtId="0" fontId="6" fillId="0" borderId="0" xfId="0" applyFont="1"/>
    <xf numFmtId="0" fontId="3" fillId="0" borderId="1" xfId="0" applyFont="1" applyBorder="1"/>
    <xf numFmtId="1" fontId="5" fillId="0" borderId="1" xfId="0" applyNumberFormat="1" applyFont="1" applyBorder="1"/>
    <xf numFmtId="164" fontId="5" fillId="0" borderId="1" xfId="0" applyNumberFormat="1" applyFont="1" applyBorder="1"/>
    <xf numFmtId="165" fontId="5" fillId="0" borderId="1" xfId="0" applyNumberFormat="1" applyFont="1" applyBorder="1"/>
    <xf numFmtId="0" fontId="2" fillId="0" borderId="1" xfId="0" applyFont="1" applyBorder="1"/>
    <xf numFmtId="2" fontId="4" fillId="0" borderId="1" xfId="0" applyNumberFormat="1" applyFont="1" applyBorder="1"/>
    <xf numFmtId="1" fontId="3" fillId="0" borderId="1" xfId="0" applyNumberFormat="1" applyFont="1" applyBorder="1"/>
    <xf numFmtId="166" fontId="3" fillId="0" borderId="1" xfId="0" applyNumberFormat="1" applyFont="1" applyBorder="1"/>
    <xf numFmtId="2" fontId="3" fillId="0" borderId="1" xfId="0" applyNumberFormat="1" applyFont="1" applyBorder="1"/>
    <xf numFmtId="164" fontId="3" fillId="0" borderId="1" xfId="0" applyNumberFormat="1" applyFont="1" applyBorder="1"/>
    <xf numFmtId="11" fontId="3" fillId="0" borderId="1" xfId="0" applyNumberFormat="1" applyFont="1" applyBorder="1"/>
    <xf numFmtId="164" fontId="3" fillId="0" borderId="0" xfId="0" applyNumberFormat="1" applyFont="1"/>
    <xf numFmtId="165" fontId="3" fillId="0" borderId="0" xfId="0" applyNumberFormat="1" applyFont="1"/>
    <xf numFmtId="2" fontId="5" fillId="0" borderId="1" xfId="0" applyNumberFormat="1" applyFont="1" applyBorder="1"/>
    <xf numFmtId="1" fontId="4" fillId="0" borderId="1" xfId="0" applyNumberFormat="1" applyFont="1" applyBorder="1"/>
    <xf numFmtId="166" fontId="5" fillId="0" borderId="1" xfId="0" applyNumberFormat="1" applyFont="1" applyBorder="1"/>
    <xf numFmtId="167" fontId="3" fillId="0" borderId="1" xfId="0" applyNumberFormat="1" applyFont="1" applyBorder="1"/>
    <xf numFmtId="0" fontId="5" fillId="0" borderId="1" xfId="0" applyFont="1" applyBorder="1"/>
    <xf numFmtId="0" fontId="2" fillId="0" borderId="1" xfId="0" applyFont="1" applyBorder="1" applyAlignment="1">
      <alignment vertical="top" wrapText="1"/>
    </xf>
    <xf numFmtId="0" fontId="5" fillId="0" borderId="1" xfId="0" applyFont="1" applyBorder="1" applyAlignment="1">
      <alignment horizontal="left" vertical="top" wrapText="1"/>
    </xf>
    <xf numFmtId="0" fontId="3" fillId="0" borderId="1" xfId="0" applyFont="1" applyBorder="1" applyAlignment="1">
      <alignment vertical="top" wrapText="1"/>
    </xf>
    <xf numFmtId="164" fontId="5" fillId="0" borderId="1" xfId="0" applyNumberFormat="1" applyFont="1" applyBorder="1" applyAlignment="1">
      <alignment horizontal="left" vertical="top" wrapText="1"/>
    </xf>
    <xf numFmtId="1" fontId="5" fillId="0" borderId="1" xfId="0" applyNumberFormat="1" applyFont="1" applyBorder="1" applyAlignment="1">
      <alignment horizontal="left" vertical="top" wrapText="1"/>
    </xf>
    <xf numFmtId="11" fontId="5" fillId="0" borderId="1" xfId="0" applyNumberFormat="1" applyFont="1" applyBorder="1" applyAlignment="1">
      <alignment horizontal="left" vertical="top" wrapText="1"/>
    </xf>
    <xf numFmtId="0" fontId="3" fillId="0" borderId="0" xfId="0" applyFont="1" applyAlignment="1">
      <alignment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Mean Satisfaction (1 to 7) by Rating of "Has Fresh Food" (x15)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1"/>
        <c:ser>
          <c:idx val="0"/>
          <c:order val="0"/>
          <c:tx>
            <c:strRef>
              <c:f>ANOVA!$C$8</c:f>
              <c:strCache>
                <c:ptCount val="1"/>
                <c:pt idx="0">
                  <c:v>Mean x22</c:v>
                </c:pt>
              </c:strCache>
            </c:strRef>
          </c:tx>
          <c:spPr>
            <a:solidFill>
              <a:srgbClr val="2A78D6"/>
            </a:solidFill>
            <a:ln>
              <a:prstDash val="solid"/>
            </a:ln>
          </c:spPr>
          <c:invertIfNegative val="1"/>
          <c:cat>
            <c:numRef>
              <c:f>ANOVA!$A$9:$A$12</c:f>
              <c:numCache>
                <c:formatCode>0</c:formatCode>
                <c:ptCount val="4"/>
                <c:pt idx="0">
                  <c:v>4</c:v>
                </c:pt>
                <c:pt idx="1">
                  <c:v>5</c:v>
                </c:pt>
                <c:pt idx="2">
                  <c:v>6</c:v>
                </c:pt>
                <c:pt idx="3">
                  <c:v>7</c:v>
                </c:pt>
              </c:numCache>
            </c:numRef>
          </c:cat>
          <c:val>
            <c:numRef>
              <c:f>ANOVA!$C$9:$C$12</c:f>
              <c:numCache>
                <c:formatCode>0.000</c:formatCode>
                <c:ptCount val="4"/>
                <c:pt idx="0">
                  <c:v>3.9882352941176471</c:v>
                </c:pt>
                <c:pt idx="1">
                  <c:v>4.354838709677419</c:v>
                </c:pt>
                <c:pt idx="2">
                  <c:v>4.8499999999999996</c:v>
                </c:pt>
                <c:pt idx="3">
                  <c:v>5.5149700598802394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FA1A-4FCA-B1F3-E140504C00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b"/>
        <c:numFmt formatCode="0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7"/>
          <c:min val="1"/>
        </c:scaling>
        <c:delete val="0"/>
        <c:axPos val="l"/>
        <c:majorGridlines/>
        <c:numFmt formatCode="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1"/>
  <c:style val="2"/>
  <c:chart>
    <c:title>
      <c:tx>
        <c:rich>
          <a:bodyPr/>
          <a:lstStyle/>
          <a:p>
            <a:pPr>
              <a:defRPr/>
            </a:pPr>
            <a:r>
              <a:t>Correlation of Each Perception With Satisfaction (Pearson r)</a:t>
            </a:r>
          </a:p>
        </c:rich>
      </c:tx>
      <c:overlay val="0"/>
    </c:title>
    <c:autoTitleDeleted val="0"/>
    <c:plotArea>
      <c:layout/>
      <c:barChart>
        <c:barDir val="bar"/>
        <c:grouping val="clustered"/>
        <c:varyColors val="1"/>
        <c:ser>
          <c:idx val="0"/>
          <c:order val="0"/>
          <c:tx>
            <c:strRef>
              <c:f>Charts!$M$21</c:f>
              <c:strCache>
                <c:ptCount val="1"/>
                <c:pt idx="0">
                  <c:v>r with satisfaction</c:v>
                </c:pt>
              </c:strCache>
            </c:strRef>
          </c:tx>
          <c:spPr>
            <a:solidFill>
              <a:srgbClr val="2A78D6"/>
            </a:solidFill>
            <a:ln>
              <a:prstDash val="solid"/>
            </a:ln>
          </c:spPr>
          <c:invertIfNegative val="1"/>
          <c:cat>
            <c:strRef>
              <c:f>Charts!$L$22:$L$31</c:f>
              <c:strCache>
                <c:ptCount val="10"/>
                <c:pt idx="0">
                  <c:v>Attractive interior</c:v>
                </c:pt>
                <c:pt idx="1">
                  <c:v>Fun place to eat</c:v>
                </c:pt>
                <c:pt idx="2">
                  <c:v>Reasonable prices</c:v>
                </c:pt>
                <c:pt idx="3">
                  <c:v>Large portions</c:v>
                </c:pt>
                <c:pt idx="4">
                  <c:v>Quick service</c:v>
                </c:pt>
                <c:pt idx="5">
                  <c:v>Knowledgeable employees</c:v>
                </c:pt>
                <c:pt idx="6">
                  <c:v>Friendly employees</c:v>
                </c:pt>
                <c:pt idx="7">
                  <c:v>Excellent food taste</c:v>
                </c:pt>
                <c:pt idx="8">
                  <c:v>Proper food temperature</c:v>
                </c:pt>
                <c:pt idx="9">
                  <c:v>Fresh food</c:v>
                </c:pt>
              </c:strCache>
            </c:strRef>
          </c:cat>
          <c:val>
            <c:numRef>
              <c:f>Charts!$M$22:$M$31</c:f>
              <c:numCache>
                <c:formatCode>0.000</c:formatCode>
                <c:ptCount val="10"/>
                <c:pt idx="0">
                  <c:v>0.19555341768608978</c:v>
                </c:pt>
                <c:pt idx="1">
                  <c:v>0.21909641316804054</c:v>
                </c:pt>
                <c:pt idx="2">
                  <c:v>0.29752465876234396</c:v>
                </c:pt>
                <c:pt idx="3">
                  <c:v>0.30797615085228425</c:v>
                </c:pt>
                <c:pt idx="4">
                  <c:v>0.38376891045602834</c:v>
                </c:pt>
                <c:pt idx="5">
                  <c:v>0.39701910970386189</c:v>
                </c:pt>
                <c:pt idx="6">
                  <c:v>0.42466258767219667</c:v>
                </c:pt>
                <c:pt idx="7">
                  <c:v>0.43992026116752236</c:v>
                </c:pt>
                <c:pt idx="8">
                  <c:v>0.50435673038040529</c:v>
                </c:pt>
                <c:pt idx="9">
                  <c:v>0.55855337039537545</c:v>
                </c:pt>
              </c:numCache>
            </c:numRef>
          </c:val>
          <c:extLst>
            <c:ext xmlns:c14="http://schemas.microsoft.com/office/drawing/2007/8/2/chart" uri="{6F2FDCE9-48DA-4B69-8628-5D25D57E5C99}">
              <c14:invertSolidFillFmt>
                <c14:spPr xmlns:c14="http://schemas.microsoft.com/office/drawing/2007/8/2/chart">
                  <a:solidFill>
                    <a:srgbClr val="FFFFFF"/>
                  </a:solidFill>
                  <a:ln>
                    <a:prstDash val="solid"/>
                  </a:ln>
                </c14:spPr>
              </c14:invertSolidFillFmt>
            </c:ext>
            <c:ext xmlns:c16="http://schemas.microsoft.com/office/drawing/2014/chart" uri="{C3380CC4-5D6E-409C-BE32-E72D297353CC}">
              <c16:uniqueId val="{00000000-1D29-4313-B337-4E93B84DB6C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"/>
        <c:axId val="100"/>
      </c:barChart>
      <c:catAx>
        <c:axId val="10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crossAx val="100"/>
        <c:crosses val="autoZero"/>
        <c:auto val="1"/>
        <c:lblAlgn val="ctr"/>
        <c:lblOffset val="100"/>
        <c:noMultiLvlLbl val="1"/>
      </c:catAx>
      <c:valAx>
        <c:axId val="100"/>
        <c:scaling>
          <c:orientation val="minMax"/>
          <c:max val="0.6"/>
          <c:min val="0"/>
        </c:scaling>
        <c:delete val="0"/>
        <c:axPos val="b"/>
        <c:majorGridlines/>
        <c:numFmt formatCode="0.0" sourceLinked="0"/>
        <c:majorTickMark val="none"/>
        <c:minorTickMark val="none"/>
        <c:tickLblPos val="nextTo"/>
        <c:crossAx val="10"/>
        <c:crosses val="autoZero"/>
        <c:crossBetween val="between"/>
      </c:valAx>
    </c:plotArea>
    <c:plotVisOnly val="1"/>
    <c:dispBlanksAs val="gap"/>
    <c:showDLblsOverMax val="1"/>
  </c:chart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0</xdr:colOff>
      <xdr:row>2</xdr:row>
      <xdr:rowOff>0</xdr:rowOff>
    </xdr:from>
    <xdr:ext cx="5040000" cy="2880000"/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8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oneCellAnchor>
  <xdr:oneCellAnchor>
    <xdr:from>
      <xdr:col>0</xdr:col>
      <xdr:colOff>0</xdr:colOff>
      <xdr:row>20</xdr:row>
      <xdr:rowOff>0</xdr:rowOff>
    </xdr:from>
    <xdr:ext cx="5760000" cy="3600000"/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8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one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6"/>
  <sheetViews>
    <sheetView tabSelected="1" workbookViewId="0"/>
  </sheetViews>
  <sheetFormatPr defaultRowHeight="15" x14ac:dyDescent="0.25"/>
  <cols>
    <col min="1" max="1" width="18" customWidth="1"/>
    <col min="2" max="2" width="110" customWidth="1"/>
  </cols>
  <sheetData>
    <row r="1" spans="1:2" ht="18" x14ac:dyDescent="0.25">
      <c r="A1" s="1" t="s">
        <v>0</v>
      </c>
    </row>
    <row r="3" spans="1:2" x14ac:dyDescent="0.25">
      <c r="A3" s="2" t="s">
        <v>1</v>
      </c>
      <c r="B3" s="3" t="s">
        <v>2</v>
      </c>
    </row>
    <row r="4" spans="1:2" x14ac:dyDescent="0.25">
      <c r="A4" s="2" t="s">
        <v>3</v>
      </c>
      <c r="B4" s="3" t="s">
        <v>4</v>
      </c>
    </row>
    <row r="5" spans="1:2" x14ac:dyDescent="0.25">
      <c r="A5" s="2" t="s">
        <v>5</v>
      </c>
      <c r="B5" s="3" t="s">
        <v>6</v>
      </c>
    </row>
    <row r="6" spans="1:2" x14ac:dyDescent="0.25">
      <c r="A6" s="2" t="s">
        <v>7</v>
      </c>
      <c r="B6" s="3" t="s">
        <v>8</v>
      </c>
    </row>
    <row r="7" spans="1:2" x14ac:dyDescent="0.25">
      <c r="A7" s="2" t="s">
        <v>9</v>
      </c>
      <c r="B7" s="3"/>
    </row>
    <row r="8" spans="1:2" x14ac:dyDescent="0.25">
      <c r="A8" s="2" t="s">
        <v>10</v>
      </c>
      <c r="B8" s="3" t="s">
        <v>11</v>
      </c>
    </row>
    <row r="9" spans="1:2" x14ac:dyDescent="0.25">
      <c r="A9" s="2" t="s">
        <v>12</v>
      </c>
      <c r="B9" s="3" t="s">
        <v>13</v>
      </c>
    </row>
    <row r="11" spans="1:2" x14ac:dyDescent="0.25">
      <c r="A11" s="2" t="s">
        <v>14</v>
      </c>
    </row>
    <row r="12" spans="1:2" x14ac:dyDescent="0.25">
      <c r="A12" s="2" t="s">
        <v>15</v>
      </c>
      <c r="B12" s="3" t="s">
        <v>16</v>
      </c>
    </row>
    <row r="13" spans="1:2" x14ac:dyDescent="0.25">
      <c r="A13" s="2" t="s">
        <v>17</v>
      </c>
      <c r="B13" s="3" t="s">
        <v>18</v>
      </c>
    </row>
    <row r="14" spans="1:2" x14ac:dyDescent="0.25">
      <c r="A14" s="2" t="s">
        <v>19</v>
      </c>
      <c r="B14" s="3" t="s">
        <v>20</v>
      </c>
    </row>
    <row r="15" spans="1:2" x14ac:dyDescent="0.25">
      <c r="A15" s="2" t="s">
        <v>21</v>
      </c>
      <c r="B15" s="3" t="s">
        <v>22</v>
      </c>
    </row>
    <row r="16" spans="1:2" x14ac:dyDescent="0.25">
      <c r="A16" s="2" t="s">
        <v>23</v>
      </c>
      <c r="B16" s="3" t="s">
        <v>24</v>
      </c>
    </row>
    <row r="17" spans="1:2" x14ac:dyDescent="0.25">
      <c r="A17" s="2" t="s">
        <v>25</v>
      </c>
      <c r="B17" s="3" t="s">
        <v>26</v>
      </c>
    </row>
    <row r="18" spans="1:2" x14ac:dyDescent="0.25">
      <c r="A18" s="2" t="s">
        <v>27</v>
      </c>
      <c r="B18" s="3" t="s">
        <v>28</v>
      </c>
    </row>
    <row r="19" spans="1:2" x14ac:dyDescent="0.25">
      <c r="A19" s="2" t="s">
        <v>29</v>
      </c>
      <c r="B19" s="3" t="s">
        <v>30</v>
      </c>
    </row>
    <row r="20" spans="1:2" x14ac:dyDescent="0.25">
      <c r="A20" s="2" t="s">
        <v>31</v>
      </c>
      <c r="B20" s="3" t="s">
        <v>32</v>
      </c>
    </row>
    <row r="21" spans="1:2" x14ac:dyDescent="0.25">
      <c r="A21" s="2" t="s">
        <v>33</v>
      </c>
      <c r="B21" s="3" t="s">
        <v>34</v>
      </c>
    </row>
    <row r="23" spans="1:2" x14ac:dyDescent="0.25">
      <c r="A23" s="2" t="s">
        <v>35</v>
      </c>
    </row>
    <row r="24" spans="1:2" x14ac:dyDescent="0.25">
      <c r="A24" s="4" t="s">
        <v>36</v>
      </c>
      <c r="B24" s="3" t="s">
        <v>37</v>
      </c>
    </row>
    <row r="25" spans="1:2" x14ac:dyDescent="0.25">
      <c r="A25" s="3" t="s">
        <v>38</v>
      </c>
      <c r="B25" s="3" t="s">
        <v>39</v>
      </c>
    </row>
    <row r="26" spans="1:2" x14ac:dyDescent="0.25">
      <c r="A26" s="5" t="s">
        <v>40</v>
      </c>
      <c r="B26" s="3" t="s">
        <v>41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C16"/>
  <sheetViews>
    <sheetView workbookViewId="0"/>
  </sheetViews>
  <sheetFormatPr defaultRowHeight="15" x14ac:dyDescent="0.25"/>
  <cols>
    <col min="1" max="1" width="8" customWidth="1"/>
    <col min="2" max="2" width="52" customWidth="1"/>
    <col min="3" max="3" width="58" customWidth="1"/>
  </cols>
  <sheetData>
    <row r="1" spans="1:3" ht="18" x14ac:dyDescent="0.25">
      <c r="A1" s="1" t="s">
        <v>42</v>
      </c>
    </row>
    <row r="3" spans="1:3" x14ac:dyDescent="0.25">
      <c r="A3" s="6" t="s">
        <v>43</v>
      </c>
      <c r="B3" s="6" t="s">
        <v>44</v>
      </c>
      <c r="C3" s="6" t="s">
        <v>45</v>
      </c>
    </row>
    <row r="4" spans="1:3" x14ac:dyDescent="0.25">
      <c r="A4" s="7" t="s">
        <v>46</v>
      </c>
      <c r="B4" s="7" t="s">
        <v>47</v>
      </c>
      <c r="C4" s="7" t="s">
        <v>48</v>
      </c>
    </row>
    <row r="5" spans="1:3" x14ac:dyDescent="0.25">
      <c r="A5" s="7" t="s">
        <v>49</v>
      </c>
      <c r="B5" s="7" t="s">
        <v>50</v>
      </c>
      <c r="C5" s="7" t="s">
        <v>48</v>
      </c>
    </row>
    <row r="6" spans="1:3" x14ac:dyDescent="0.25">
      <c r="A6" s="7" t="s">
        <v>51</v>
      </c>
      <c r="B6" s="7" t="s">
        <v>52</v>
      </c>
      <c r="C6" s="7" t="s">
        <v>48</v>
      </c>
    </row>
    <row r="7" spans="1:3" x14ac:dyDescent="0.25">
      <c r="A7" s="7" t="s">
        <v>53</v>
      </c>
      <c r="B7" s="7" t="s">
        <v>54</v>
      </c>
      <c r="C7" s="7" t="s">
        <v>48</v>
      </c>
    </row>
    <row r="8" spans="1:3" x14ac:dyDescent="0.25">
      <c r="A8" s="7" t="s">
        <v>55</v>
      </c>
      <c r="B8" s="7" t="s">
        <v>56</v>
      </c>
      <c r="C8" s="7" t="s">
        <v>48</v>
      </c>
    </row>
    <row r="9" spans="1:3" x14ac:dyDescent="0.25">
      <c r="A9" s="7" t="s">
        <v>57</v>
      </c>
      <c r="B9" s="7" t="s">
        <v>58</v>
      </c>
      <c r="C9" s="7" t="s">
        <v>48</v>
      </c>
    </row>
    <row r="10" spans="1:3" x14ac:dyDescent="0.25">
      <c r="A10" s="7" t="s">
        <v>59</v>
      </c>
      <c r="B10" s="7" t="s">
        <v>60</v>
      </c>
      <c r="C10" s="7" t="s">
        <v>48</v>
      </c>
    </row>
    <row r="11" spans="1:3" x14ac:dyDescent="0.25">
      <c r="A11" s="7" t="s">
        <v>61</v>
      </c>
      <c r="B11" s="7" t="s">
        <v>62</v>
      </c>
      <c r="C11" s="7" t="s">
        <v>48</v>
      </c>
    </row>
    <row r="12" spans="1:3" x14ac:dyDescent="0.25">
      <c r="A12" s="7" t="s">
        <v>63</v>
      </c>
      <c r="B12" s="7" t="s">
        <v>64</v>
      </c>
      <c r="C12" s="7" t="s">
        <v>48</v>
      </c>
    </row>
    <row r="13" spans="1:3" x14ac:dyDescent="0.25">
      <c r="A13" s="7" t="s">
        <v>65</v>
      </c>
      <c r="B13" s="7" t="s">
        <v>66</v>
      </c>
      <c r="C13" s="7" t="s">
        <v>48</v>
      </c>
    </row>
    <row r="14" spans="1:3" x14ac:dyDescent="0.25">
      <c r="A14" s="7" t="s">
        <v>67</v>
      </c>
      <c r="B14" s="7" t="s">
        <v>68</v>
      </c>
      <c r="C14" s="7" t="s">
        <v>69</v>
      </c>
    </row>
    <row r="15" spans="1:3" x14ac:dyDescent="0.25">
      <c r="A15" s="7" t="s">
        <v>70</v>
      </c>
      <c r="B15" s="7" t="s">
        <v>71</v>
      </c>
      <c r="C15" s="7" t="s">
        <v>72</v>
      </c>
    </row>
    <row r="16" spans="1:3" x14ac:dyDescent="0.25">
      <c r="A16" s="7" t="s">
        <v>73</v>
      </c>
      <c r="B16" s="7" t="s">
        <v>74</v>
      </c>
      <c r="C16" s="7" t="s">
        <v>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P406"/>
  <sheetViews>
    <sheetView workbookViewId="0">
      <pane xSplit="1" ySplit="1" topLeftCell="B2" activePane="bottomRight" state="frozen"/>
      <selection pane="topRight"/>
      <selection pane="bottomLeft"/>
      <selection pane="bottomRight"/>
    </sheetView>
  </sheetViews>
  <sheetFormatPr defaultRowHeight="15" x14ac:dyDescent="0.25"/>
  <sheetData>
    <row r="1" spans="1:16" x14ac:dyDescent="0.25">
      <c r="A1" s="6" t="s">
        <v>76</v>
      </c>
      <c r="B1" s="6" t="s">
        <v>46</v>
      </c>
      <c r="C1" s="6" t="s">
        <v>49</v>
      </c>
      <c r="D1" s="6" t="s">
        <v>51</v>
      </c>
      <c r="E1" s="6" t="s">
        <v>53</v>
      </c>
      <c r="F1" s="6" t="s">
        <v>55</v>
      </c>
      <c r="G1" s="6" t="s">
        <v>57</v>
      </c>
      <c r="H1" s="6" t="s">
        <v>59</v>
      </c>
      <c r="I1" s="6" t="s">
        <v>61</v>
      </c>
      <c r="J1" s="6" t="s">
        <v>63</v>
      </c>
      <c r="K1" s="6" t="s">
        <v>65</v>
      </c>
      <c r="L1" s="6" t="s">
        <v>67</v>
      </c>
      <c r="M1" s="6" t="s">
        <v>70</v>
      </c>
      <c r="N1" s="6" t="s">
        <v>73</v>
      </c>
    </row>
    <row r="2" spans="1:16" x14ac:dyDescent="0.25">
      <c r="A2" s="4">
        <v>1</v>
      </c>
      <c r="B2" s="4">
        <v>5</v>
      </c>
      <c r="C2" s="4">
        <v>6</v>
      </c>
      <c r="D2" s="4">
        <v>4</v>
      </c>
      <c r="E2" s="4">
        <v>7</v>
      </c>
      <c r="F2" s="4">
        <v>4</v>
      </c>
      <c r="G2" s="4">
        <v>6</v>
      </c>
      <c r="H2" s="4">
        <v>6</v>
      </c>
      <c r="I2" s="4">
        <v>4</v>
      </c>
      <c r="J2" s="4">
        <v>4</v>
      </c>
      <c r="K2" s="4">
        <v>4</v>
      </c>
      <c r="L2" s="4">
        <v>4</v>
      </c>
      <c r="M2" s="4">
        <v>4</v>
      </c>
      <c r="N2" s="4">
        <v>3</v>
      </c>
      <c r="P2" s="8" t="s">
        <v>77</v>
      </c>
    </row>
    <row r="3" spans="1:16" x14ac:dyDescent="0.25">
      <c r="A3" s="4">
        <v>6</v>
      </c>
      <c r="B3" s="4">
        <v>3</v>
      </c>
      <c r="C3" s="4">
        <v>5</v>
      </c>
      <c r="D3" s="4">
        <v>6</v>
      </c>
      <c r="E3" s="4">
        <v>6</v>
      </c>
      <c r="F3" s="4">
        <v>6</v>
      </c>
      <c r="G3" s="4">
        <v>5</v>
      </c>
      <c r="H3" s="4">
        <v>7</v>
      </c>
      <c r="I3" s="4">
        <v>4</v>
      </c>
      <c r="J3" s="4">
        <v>7</v>
      </c>
      <c r="K3" s="4">
        <v>4</v>
      </c>
      <c r="L3" s="4">
        <v>6</v>
      </c>
      <c r="M3" s="4">
        <v>5</v>
      </c>
      <c r="N3" s="4">
        <v>5</v>
      </c>
      <c r="P3" s="8" t="s">
        <v>78</v>
      </c>
    </row>
    <row r="4" spans="1:16" x14ac:dyDescent="0.25">
      <c r="A4" s="4">
        <v>7</v>
      </c>
      <c r="B4" s="4">
        <v>4</v>
      </c>
      <c r="C4" s="4">
        <v>6</v>
      </c>
      <c r="D4" s="4">
        <v>4</v>
      </c>
      <c r="E4" s="4">
        <v>6</v>
      </c>
      <c r="F4" s="4">
        <v>4</v>
      </c>
      <c r="G4" s="4">
        <v>6</v>
      </c>
      <c r="H4" s="4">
        <v>6</v>
      </c>
      <c r="I4" s="4">
        <v>3</v>
      </c>
      <c r="J4" s="4">
        <v>4</v>
      </c>
      <c r="K4" s="4">
        <v>4</v>
      </c>
      <c r="L4" s="4">
        <v>4</v>
      </c>
      <c r="M4" s="4">
        <v>3</v>
      </c>
      <c r="N4" s="4">
        <v>2</v>
      </c>
    </row>
    <row r="5" spans="1:16" x14ac:dyDescent="0.25">
      <c r="A5" s="4">
        <v>9</v>
      </c>
      <c r="B5" s="4">
        <v>5</v>
      </c>
      <c r="C5" s="4">
        <v>5</v>
      </c>
      <c r="D5" s="4">
        <v>5</v>
      </c>
      <c r="E5" s="4">
        <v>7</v>
      </c>
      <c r="F5" s="4">
        <v>4</v>
      </c>
      <c r="G5" s="4">
        <v>5</v>
      </c>
      <c r="H5" s="4">
        <v>6</v>
      </c>
      <c r="I5" s="4">
        <v>4</v>
      </c>
      <c r="J5" s="4">
        <v>6</v>
      </c>
      <c r="K5" s="4">
        <v>7</v>
      </c>
      <c r="L5" s="4">
        <v>7</v>
      </c>
      <c r="M5" s="4">
        <v>7</v>
      </c>
      <c r="N5" s="4">
        <v>6</v>
      </c>
    </row>
    <row r="6" spans="1:16" x14ac:dyDescent="0.25">
      <c r="A6" s="4">
        <v>10</v>
      </c>
      <c r="B6" s="4">
        <v>4</v>
      </c>
      <c r="C6" s="4">
        <v>6</v>
      </c>
      <c r="D6" s="4">
        <v>5</v>
      </c>
      <c r="E6" s="4">
        <v>7</v>
      </c>
      <c r="F6" s="4">
        <v>5</v>
      </c>
      <c r="G6" s="4">
        <v>6</v>
      </c>
      <c r="H6" s="4">
        <v>7</v>
      </c>
      <c r="I6" s="4">
        <v>4</v>
      </c>
      <c r="J6" s="4">
        <v>6</v>
      </c>
      <c r="K6" s="4">
        <v>7</v>
      </c>
      <c r="L6" s="4">
        <v>6</v>
      </c>
      <c r="M6" s="4">
        <v>6</v>
      </c>
      <c r="N6" s="4">
        <v>6</v>
      </c>
    </row>
    <row r="7" spans="1:16" x14ac:dyDescent="0.25">
      <c r="A7" s="4">
        <v>15</v>
      </c>
      <c r="B7" s="4">
        <v>5</v>
      </c>
      <c r="C7" s="4">
        <v>5</v>
      </c>
      <c r="D7" s="4">
        <v>3</v>
      </c>
      <c r="E7" s="4">
        <v>5</v>
      </c>
      <c r="F7" s="4">
        <v>3</v>
      </c>
      <c r="G7" s="4">
        <v>5</v>
      </c>
      <c r="H7" s="4">
        <v>5</v>
      </c>
      <c r="I7" s="4">
        <v>4</v>
      </c>
      <c r="J7" s="4">
        <v>3</v>
      </c>
      <c r="K7" s="4">
        <v>7</v>
      </c>
      <c r="L7" s="4">
        <v>5</v>
      </c>
      <c r="M7" s="4">
        <v>4</v>
      </c>
      <c r="N7" s="4">
        <v>2</v>
      </c>
    </row>
    <row r="8" spans="1:16" x14ac:dyDescent="0.25">
      <c r="A8" s="4">
        <v>20</v>
      </c>
      <c r="B8" s="4">
        <v>5</v>
      </c>
      <c r="C8" s="4">
        <v>5</v>
      </c>
      <c r="D8" s="4">
        <v>4</v>
      </c>
      <c r="E8" s="4">
        <v>7</v>
      </c>
      <c r="F8" s="4">
        <v>4</v>
      </c>
      <c r="G8" s="4">
        <v>5</v>
      </c>
      <c r="H8" s="4">
        <v>6</v>
      </c>
      <c r="I8" s="4">
        <v>4</v>
      </c>
      <c r="J8" s="4">
        <v>3</v>
      </c>
      <c r="K8" s="4">
        <v>7</v>
      </c>
      <c r="L8" s="4">
        <v>4</v>
      </c>
      <c r="M8" s="4">
        <v>3</v>
      </c>
      <c r="N8" s="4">
        <v>2</v>
      </c>
    </row>
    <row r="9" spans="1:16" x14ac:dyDescent="0.25">
      <c r="A9" s="4">
        <v>26</v>
      </c>
      <c r="B9" s="4">
        <v>5</v>
      </c>
      <c r="C9" s="4">
        <v>6</v>
      </c>
      <c r="D9" s="4">
        <v>5</v>
      </c>
      <c r="E9" s="4">
        <v>7</v>
      </c>
      <c r="F9" s="4">
        <v>5</v>
      </c>
      <c r="G9" s="4">
        <v>6</v>
      </c>
      <c r="H9" s="4">
        <v>6</v>
      </c>
      <c r="I9" s="4">
        <v>6</v>
      </c>
      <c r="J9" s="4">
        <v>5</v>
      </c>
      <c r="K9" s="4">
        <v>7</v>
      </c>
      <c r="L9" s="4">
        <v>7</v>
      </c>
      <c r="M9" s="4">
        <v>6</v>
      </c>
      <c r="N9" s="4">
        <v>5</v>
      </c>
    </row>
    <row r="10" spans="1:16" x14ac:dyDescent="0.25">
      <c r="A10" s="4">
        <v>27</v>
      </c>
      <c r="B10" s="4">
        <v>5</v>
      </c>
      <c r="C10" s="4">
        <v>4</v>
      </c>
      <c r="D10" s="4">
        <v>3</v>
      </c>
      <c r="E10" s="4">
        <v>6</v>
      </c>
      <c r="F10" s="4">
        <v>3</v>
      </c>
      <c r="G10" s="4">
        <v>4</v>
      </c>
      <c r="H10" s="4">
        <v>6</v>
      </c>
      <c r="I10" s="4">
        <v>4</v>
      </c>
      <c r="J10" s="4">
        <v>5</v>
      </c>
      <c r="K10" s="4">
        <v>7</v>
      </c>
      <c r="L10" s="4">
        <v>6</v>
      </c>
      <c r="M10" s="4">
        <v>5</v>
      </c>
      <c r="N10" s="4">
        <v>4</v>
      </c>
    </row>
    <row r="11" spans="1:16" x14ac:dyDescent="0.25">
      <c r="A11" s="4">
        <v>28</v>
      </c>
      <c r="B11" s="4">
        <v>5</v>
      </c>
      <c r="C11" s="4">
        <v>6</v>
      </c>
      <c r="D11" s="4">
        <v>3</v>
      </c>
      <c r="E11" s="4">
        <v>7</v>
      </c>
      <c r="F11" s="4">
        <v>3</v>
      </c>
      <c r="G11" s="4">
        <v>6</v>
      </c>
      <c r="H11" s="4">
        <v>7</v>
      </c>
      <c r="I11" s="4">
        <v>7</v>
      </c>
      <c r="J11" s="4">
        <v>6</v>
      </c>
      <c r="K11" s="4">
        <v>7</v>
      </c>
      <c r="L11" s="4">
        <v>7</v>
      </c>
      <c r="M11" s="4">
        <v>7</v>
      </c>
      <c r="N11" s="4">
        <v>6</v>
      </c>
    </row>
    <row r="12" spans="1:16" x14ac:dyDescent="0.25">
      <c r="A12" s="4">
        <v>33</v>
      </c>
      <c r="B12" s="4">
        <v>5</v>
      </c>
      <c r="C12" s="4">
        <v>3</v>
      </c>
      <c r="D12" s="4">
        <v>5</v>
      </c>
      <c r="E12" s="4">
        <v>7</v>
      </c>
      <c r="F12" s="4">
        <v>5</v>
      </c>
      <c r="G12" s="4">
        <v>3</v>
      </c>
      <c r="H12" s="4">
        <v>7</v>
      </c>
      <c r="I12" s="4">
        <v>4</v>
      </c>
      <c r="J12" s="4">
        <v>7</v>
      </c>
      <c r="K12" s="4">
        <v>7</v>
      </c>
      <c r="L12" s="4">
        <v>5</v>
      </c>
      <c r="M12" s="4">
        <v>6</v>
      </c>
      <c r="N12" s="4">
        <v>4</v>
      </c>
    </row>
    <row r="13" spans="1:16" x14ac:dyDescent="0.25">
      <c r="A13" s="4">
        <v>34</v>
      </c>
      <c r="B13" s="4">
        <v>5</v>
      </c>
      <c r="C13" s="4">
        <v>3</v>
      </c>
      <c r="D13" s="4">
        <v>4</v>
      </c>
      <c r="E13" s="4">
        <v>7</v>
      </c>
      <c r="F13" s="4">
        <v>4</v>
      </c>
      <c r="G13" s="4">
        <v>3</v>
      </c>
      <c r="H13" s="4">
        <v>7</v>
      </c>
      <c r="I13" s="4">
        <v>4</v>
      </c>
      <c r="J13" s="4">
        <v>6</v>
      </c>
      <c r="K13" s="4">
        <v>7</v>
      </c>
      <c r="L13" s="4">
        <v>6</v>
      </c>
      <c r="M13" s="4">
        <v>6</v>
      </c>
      <c r="N13" s="4">
        <v>5</v>
      </c>
    </row>
    <row r="14" spans="1:16" x14ac:dyDescent="0.25">
      <c r="A14" s="4">
        <v>37</v>
      </c>
      <c r="B14" s="4">
        <v>5</v>
      </c>
      <c r="C14" s="4">
        <v>3</v>
      </c>
      <c r="D14" s="4">
        <v>4</v>
      </c>
      <c r="E14" s="4">
        <v>7</v>
      </c>
      <c r="F14" s="4">
        <v>4</v>
      </c>
      <c r="G14" s="4">
        <v>5</v>
      </c>
      <c r="H14" s="4">
        <v>5</v>
      </c>
      <c r="I14" s="4">
        <v>4</v>
      </c>
      <c r="J14" s="4">
        <v>5</v>
      </c>
      <c r="K14" s="4">
        <v>7</v>
      </c>
      <c r="L14" s="4">
        <v>7</v>
      </c>
      <c r="M14" s="4">
        <v>6</v>
      </c>
      <c r="N14" s="4">
        <v>6</v>
      </c>
    </row>
    <row r="15" spans="1:16" x14ac:dyDescent="0.25">
      <c r="A15" s="4">
        <v>39</v>
      </c>
      <c r="B15" s="4">
        <v>5</v>
      </c>
      <c r="C15" s="4">
        <v>4</v>
      </c>
      <c r="D15" s="4">
        <v>6</v>
      </c>
      <c r="E15" s="4">
        <v>7</v>
      </c>
      <c r="F15" s="4">
        <v>6</v>
      </c>
      <c r="G15" s="4">
        <v>5</v>
      </c>
      <c r="H15" s="4">
        <v>7</v>
      </c>
      <c r="I15" s="4">
        <v>7</v>
      </c>
      <c r="J15" s="4">
        <v>5</v>
      </c>
      <c r="K15" s="4">
        <v>7</v>
      </c>
      <c r="L15" s="4">
        <v>6</v>
      </c>
      <c r="M15" s="4">
        <v>6</v>
      </c>
      <c r="N15" s="4">
        <v>5</v>
      </c>
    </row>
    <row r="16" spans="1:16" x14ac:dyDescent="0.25">
      <c r="A16" s="4">
        <v>41</v>
      </c>
      <c r="B16" s="4">
        <v>5</v>
      </c>
      <c r="C16" s="4">
        <v>2</v>
      </c>
      <c r="D16" s="4">
        <v>3</v>
      </c>
      <c r="E16" s="4">
        <v>7</v>
      </c>
      <c r="F16" s="4">
        <v>3</v>
      </c>
      <c r="G16" s="4">
        <v>2</v>
      </c>
      <c r="H16" s="4">
        <v>6</v>
      </c>
      <c r="I16" s="4">
        <v>4</v>
      </c>
      <c r="J16" s="4">
        <v>5</v>
      </c>
      <c r="K16" s="4">
        <v>7</v>
      </c>
      <c r="L16" s="4">
        <v>4</v>
      </c>
      <c r="M16" s="4">
        <v>4</v>
      </c>
      <c r="N16" s="4">
        <v>4</v>
      </c>
    </row>
    <row r="17" spans="1:14" x14ac:dyDescent="0.25">
      <c r="A17" s="4">
        <v>42</v>
      </c>
      <c r="B17" s="4">
        <v>5</v>
      </c>
      <c r="C17" s="4">
        <v>6</v>
      </c>
      <c r="D17" s="4">
        <v>4</v>
      </c>
      <c r="E17" s="4">
        <v>7</v>
      </c>
      <c r="F17" s="4">
        <v>4</v>
      </c>
      <c r="G17" s="4">
        <v>6</v>
      </c>
      <c r="H17" s="4">
        <v>6</v>
      </c>
      <c r="I17" s="4">
        <v>6</v>
      </c>
      <c r="J17" s="4">
        <v>5</v>
      </c>
      <c r="K17" s="4">
        <v>7</v>
      </c>
      <c r="L17" s="4">
        <v>7</v>
      </c>
      <c r="M17" s="4">
        <v>6</v>
      </c>
      <c r="N17" s="4">
        <v>6</v>
      </c>
    </row>
    <row r="18" spans="1:14" x14ac:dyDescent="0.25">
      <c r="A18" s="4">
        <v>43</v>
      </c>
      <c r="B18" s="4">
        <v>5</v>
      </c>
      <c r="C18" s="4">
        <v>4</v>
      </c>
      <c r="D18" s="4">
        <v>3</v>
      </c>
      <c r="E18" s="4">
        <v>6</v>
      </c>
      <c r="F18" s="4">
        <v>3</v>
      </c>
      <c r="G18" s="4">
        <v>5</v>
      </c>
      <c r="H18" s="4">
        <v>5</v>
      </c>
      <c r="I18" s="4">
        <v>7</v>
      </c>
      <c r="J18" s="4">
        <v>5</v>
      </c>
      <c r="K18" s="4">
        <v>7</v>
      </c>
      <c r="L18" s="4">
        <v>5</v>
      </c>
      <c r="M18" s="4">
        <v>6</v>
      </c>
      <c r="N18" s="4">
        <v>4</v>
      </c>
    </row>
    <row r="19" spans="1:14" x14ac:dyDescent="0.25">
      <c r="A19" s="4">
        <v>44</v>
      </c>
      <c r="B19" s="4">
        <v>5</v>
      </c>
      <c r="C19" s="4">
        <v>4</v>
      </c>
      <c r="D19" s="4">
        <v>4</v>
      </c>
      <c r="E19" s="4">
        <v>7</v>
      </c>
      <c r="F19" s="4">
        <v>4</v>
      </c>
      <c r="G19" s="4">
        <v>4</v>
      </c>
      <c r="H19" s="4">
        <v>6</v>
      </c>
      <c r="I19" s="4">
        <v>4</v>
      </c>
      <c r="J19" s="4">
        <v>3</v>
      </c>
      <c r="K19" s="4">
        <v>4</v>
      </c>
      <c r="L19" s="4">
        <v>5</v>
      </c>
      <c r="M19" s="4">
        <v>5</v>
      </c>
      <c r="N19" s="4">
        <v>5</v>
      </c>
    </row>
    <row r="20" spans="1:14" x14ac:dyDescent="0.25">
      <c r="A20" s="4">
        <v>48</v>
      </c>
      <c r="B20" s="4">
        <v>4</v>
      </c>
      <c r="C20" s="4">
        <v>3</v>
      </c>
      <c r="D20" s="4">
        <v>4</v>
      </c>
      <c r="E20" s="4">
        <v>6</v>
      </c>
      <c r="F20" s="4">
        <v>4</v>
      </c>
      <c r="G20" s="4">
        <v>3</v>
      </c>
      <c r="H20" s="4">
        <v>5</v>
      </c>
      <c r="I20" s="4">
        <v>4</v>
      </c>
      <c r="J20" s="4">
        <v>3</v>
      </c>
      <c r="K20" s="4">
        <v>4</v>
      </c>
      <c r="L20" s="4">
        <v>3</v>
      </c>
      <c r="M20" s="4">
        <v>3</v>
      </c>
      <c r="N20" s="4">
        <v>2</v>
      </c>
    </row>
    <row r="21" spans="1:14" x14ac:dyDescent="0.25">
      <c r="A21" s="4">
        <v>49</v>
      </c>
      <c r="B21" s="4">
        <v>5</v>
      </c>
      <c r="C21" s="4">
        <v>4</v>
      </c>
      <c r="D21" s="4">
        <v>5</v>
      </c>
      <c r="E21" s="4">
        <v>7</v>
      </c>
      <c r="F21" s="4">
        <v>4</v>
      </c>
      <c r="G21" s="4">
        <v>5</v>
      </c>
      <c r="H21" s="4">
        <v>5</v>
      </c>
      <c r="I21" s="4">
        <v>4</v>
      </c>
      <c r="J21" s="4">
        <v>3</v>
      </c>
      <c r="K21" s="4">
        <v>7</v>
      </c>
      <c r="L21" s="4">
        <v>7</v>
      </c>
      <c r="M21" s="4">
        <v>6</v>
      </c>
      <c r="N21" s="4">
        <v>6</v>
      </c>
    </row>
    <row r="22" spans="1:14" x14ac:dyDescent="0.25">
      <c r="A22" s="4">
        <v>55</v>
      </c>
      <c r="B22" s="4">
        <v>5</v>
      </c>
      <c r="C22" s="4">
        <v>4</v>
      </c>
      <c r="D22" s="4">
        <v>4</v>
      </c>
      <c r="E22" s="4">
        <v>7</v>
      </c>
      <c r="F22" s="4">
        <v>4</v>
      </c>
      <c r="G22" s="4">
        <v>3</v>
      </c>
      <c r="H22" s="4">
        <v>7</v>
      </c>
      <c r="I22" s="4">
        <v>4</v>
      </c>
      <c r="J22" s="4">
        <v>3</v>
      </c>
      <c r="K22" s="4">
        <v>7</v>
      </c>
      <c r="L22" s="4">
        <v>4</v>
      </c>
      <c r="M22" s="4">
        <v>3</v>
      </c>
      <c r="N22" s="4">
        <v>2</v>
      </c>
    </row>
    <row r="23" spans="1:14" x14ac:dyDescent="0.25">
      <c r="A23" s="4">
        <v>59</v>
      </c>
      <c r="B23" s="4">
        <v>5</v>
      </c>
      <c r="C23" s="4">
        <v>4</v>
      </c>
      <c r="D23" s="4">
        <v>3</v>
      </c>
      <c r="E23" s="4">
        <v>6</v>
      </c>
      <c r="F23" s="4">
        <v>3</v>
      </c>
      <c r="G23" s="4">
        <v>4</v>
      </c>
      <c r="H23" s="4">
        <v>6</v>
      </c>
      <c r="I23" s="4">
        <v>4</v>
      </c>
      <c r="J23" s="4">
        <v>5</v>
      </c>
      <c r="K23" s="4">
        <v>7</v>
      </c>
      <c r="L23" s="4">
        <v>5</v>
      </c>
      <c r="M23" s="4">
        <v>4</v>
      </c>
      <c r="N23" s="4">
        <v>3</v>
      </c>
    </row>
    <row r="24" spans="1:14" x14ac:dyDescent="0.25">
      <c r="A24" s="4">
        <v>60</v>
      </c>
      <c r="B24" s="4">
        <v>5</v>
      </c>
      <c r="C24" s="4">
        <v>6</v>
      </c>
      <c r="D24" s="4">
        <v>6</v>
      </c>
      <c r="E24" s="4">
        <v>6</v>
      </c>
      <c r="F24" s="4">
        <v>6</v>
      </c>
      <c r="G24" s="4">
        <v>5</v>
      </c>
      <c r="H24" s="4">
        <v>6</v>
      </c>
      <c r="I24" s="4">
        <v>4</v>
      </c>
      <c r="J24" s="4">
        <v>6</v>
      </c>
      <c r="K24" s="4">
        <v>7</v>
      </c>
      <c r="L24" s="4">
        <v>7</v>
      </c>
      <c r="M24" s="4">
        <v>7</v>
      </c>
      <c r="N24" s="4">
        <v>6</v>
      </c>
    </row>
    <row r="25" spans="1:14" x14ac:dyDescent="0.25">
      <c r="A25" s="4">
        <v>63</v>
      </c>
      <c r="B25" s="4">
        <v>5</v>
      </c>
      <c r="C25" s="4">
        <v>5</v>
      </c>
      <c r="D25" s="4">
        <v>4</v>
      </c>
      <c r="E25" s="4">
        <v>7</v>
      </c>
      <c r="F25" s="4">
        <v>4</v>
      </c>
      <c r="G25" s="4">
        <v>5</v>
      </c>
      <c r="H25" s="4">
        <v>7</v>
      </c>
      <c r="I25" s="4">
        <v>4</v>
      </c>
      <c r="J25" s="4">
        <v>6</v>
      </c>
      <c r="K25" s="4">
        <v>7</v>
      </c>
      <c r="L25" s="4">
        <v>6</v>
      </c>
      <c r="M25" s="4">
        <v>6</v>
      </c>
      <c r="N25" s="4">
        <v>5</v>
      </c>
    </row>
    <row r="26" spans="1:14" x14ac:dyDescent="0.25">
      <c r="A26" s="4">
        <v>64</v>
      </c>
      <c r="B26" s="4">
        <v>5</v>
      </c>
      <c r="C26" s="4">
        <v>4</v>
      </c>
      <c r="D26" s="4">
        <v>4</v>
      </c>
      <c r="E26" s="4">
        <v>7</v>
      </c>
      <c r="F26" s="4">
        <v>4</v>
      </c>
      <c r="G26" s="4">
        <v>4</v>
      </c>
      <c r="H26" s="4">
        <v>6</v>
      </c>
      <c r="I26" s="4">
        <v>4</v>
      </c>
      <c r="J26" s="4">
        <v>3</v>
      </c>
      <c r="K26" s="4">
        <v>4</v>
      </c>
      <c r="L26" s="4">
        <v>4</v>
      </c>
      <c r="M26" s="4">
        <v>4</v>
      </c>
      <c r="N26" s="4">
        <v>3</v>
      </c>
    </row>
    <row r="27" spans="1:14" x14ac:dyDescent="0.25">
      <c r="A27" s="4">
        <v>69</v>
      </c>
      <c r="B27" s="4">
        <v>3</v>
      </c>
      <c r="C27" s="4">
        <v>5</v>
      </c>
      <c r="D27" s="4">
        <v>6</v>
      </c>
      <c r="E27" s="4">
        <v>6</v>
      </c>
      <c r="F27" s="4">
        <v>6</v>
      </c>
      <c r="G27" s="4">
        <v>5</v>
      </c>
      <c r="H27" s="4">
        <v>7</v>
      </c>
      <c r="I27" s="4">
        <v>4</v>
      </c>
      <c r="J27" s="4">
        <v>6</v>
      </c>
      <c r="K27" s="4">
        <v>4</v>
      </c>
      <c r="L27" s="4">
        <v>6</v>
      </c>
      <c r="M27" s="4">
        <v>5</v>
      </c>
      <c r="N27" s="4">
        <v>5</v>
      </c>
    </row>
    <row r="28" spans="1:14" x14ac:dyDescent="0.25">
      <c r="A28" s="4">
        <v>70</v>
      </c>
      <c r="B28" s="4">
        <v>4</v>
      </c>
      <c r="C28" s="4">
        <v>5</v>
      </c>
      <c r="D28" s="4">
        <v>4</v>
      </c>
      <c r="E28" s="4">
        <v>6</v>
      </c>
      <c r="F28" s="4">
        <v>4</v>
      </c>
      <c r="G28" s="4">
        <v>5</v>
      </c>
      <c r="H28" s="4">
        <v>6</v>
      </c>
      <c r="I28" s="4">
        <v>3</v>
      </c>
      <c r="J28" s="4">
        <v>4</v>
      </c>
      <c r="K28" s="4">
        <v>4</v>
      </c>
      <c r="L28" s="4">
        <v>4</v>
      </c>
      <c r="M28" s="4">
        <v>3</v>
      </c>
      <c r="N28" s="4">
        <v>2</v>
      </c>
    </row>
    <row r="29" spans="1:14" x14ac:dyDescent="0.25">
      <c r="A29" s="4">
        <v>72</v>
      </c>
      <c r="B29" s="4">
        <v>5</v>
      </c>
      <c r="C29" s="4">
        <v>5</v>
      </c>
      <c r="D29" s="4">
        <v>5</v>
      </c>
      <c r="E29" s="4">
        <v>7</v>
      </c>
      <c r="F29" s="4">
        <v>4</v>
      </c>
      <c r="G29" s="4">
        <v>5</v>
      </c>
      <c r="H29" s="4">
        <v>7</v>
      </c>
      <c r="I29" s="4">
        <v>4</v>
      </c>
      <c r="J29" s="4">
        <v>6</v>
      </c>
      <c r="K29" s="4">
        <v>7</v>
      </c>
      <c r="L29" s="4">
        <v>6</v>
      </c>
      <c r="M29" s="4">
        <v>6</v>
      </c>
      <c r="N29" s="4">
        <v>6</v>
      </c>
    </row>
    <row r="30" spans="1:14" x14ac:dyDescent="0.25">
      <c r="A30" s="4">
        <v>73</v>
      </c>
      <c r="B30" s="4">
        <v>4</v>
      </c>
      <c r="C30" s="4">
        <v>5</v>
      </c>
      <c r="D30" s="4">
        <v>5</v>
      </c>
      <c r="E30" s="4">
        <v>7</v>
      </c>
      <c r="F30" s="4">
        <v>5</v>
      </c>
      <c r="G30" s="4">
        <v>5</v>
      </c>
      <c r="H30" s="4">
        <v>7</v>
      </c>
      <c r="I30" s="4">
        <v>4</v>
      </c>
      <c r="J30" s="4">
        <v>6</v>
      </c>
      <c r="K30" s="4">
        <v>7</v>
      </c>
      <c r="L30" s="4">
        <v>5</v>
      </c>
      <c r="M30" s="4">
        <v>5</v>
      </c>
      <c r="N30" s="4">
        <v>4</v>
      </c>
    </row>
    <row r="31" spans="1:14" x14ac:dyDescent="0.25">
      <c r="A31" s="4">
        <v>78</v>
      </c>
      <c r="B31" s="4">
        <v>5</v>
      </c>
      <c r="C31" s="4">
        <v>4</v>
      </c>
      <c r="D31" s="4">
        <v>3</v>
      </c>
      <c r="E31" s="4">
        <v>5</v>
      </c>
      <c r="F31" s="4">
        <v>3</v>
      </c>
      <c r="G31" s="4">
        <v>4</v>
      </c>
      <c r="H31" s="4">
        <v>5</v>
      </c>
      <c r="I31" s="4">
        <v>4</v>
      </c>
      <c r="J31" s="4">
        <v>2</v>
      </c>
      <c r="K31" s="4">
        <v>7</v>
      </c>
      <c r="L31" s="4">
        <v>5</v>
      </c>
      <c r="M31" s="4">
        <v>4</v>
      </c>
      <c r="N31" s="4">
        <v>2</v>
      </c>
    </row>
    <row r="32" spans="1:14" x14ac:dyDescent="0.25">
      <c r="A32" s="4">
        <v>83</v>
      </c>
      <c r="B32" s="4">
        <v>5</v>
      </c>
      <c r="C32" s="4">
        <v>4</v>
      </c>
      <c r="D32" s="4">
        <v>4</v>
      </c>
      <c r="E32" s="4">
        <v>7</v>
      </c>
      <c r="F32" s="4">
        <v>4</v>
      </c>
      <c r="G32" s="4">
        <v>4</v>
      </c>
      <c r="H32" s="4">
        <v>7</v>
      </c>
      <c r="I32" s="4">
        <v>4</v>
      </c>
      <c r="J32" s="4">
        <v>3</v>
      </c>
      <c r="K32" s="4">
        <v>7</v>
      </c>
      <c r="L32" s="4">
        <v>4</v>
      </c>
      <c r="M32" s="4">
        <v>3</v>
      </c>
      <c r="N32" s="4">
        <v>2</v>
      </c>
    </row>
    <row r="33" spans="1:14" x14ac:dyDescent="0.25">
      <c r="A33" s="4">
        <v>89</v>
      </c>
      <c r="B33" s="4">
        <v>5</v>
      </c>
      <c r="C33" s="4">
        <v>6</v>
      </c>
      <c r="D33" s="4">
        <v>5</v>
      </c>
      <c r="E33" s="4">
        <v>7</v>
      </c>
      <c r="F33" s="4">
        <v>5</v>
      </c>
      <c r="G33" s="4">
        <v>6</v>
      </c>
      <c r="H33" s="4">
        <v>6</v>
      </c>
      <c r="I33" s="4">
        <v>6</v>
      </c>
      <c r="J33" s="4">
        <v>5</v>
      </c>
      <c r="K33" s="4">
        <v>7</v>
      </c>
      <c r="L33" s="4">
        <v>4</v>
      </c>
      <c r="M33" s="4">
        <v>4</v>
      </c>
      <c r="N33" s="4">
        <v>3</v>
      </c>
    </row>
    <row r="34" spans="1:14" x14ac:dyDescent="0.25">
      <c r="A34" s="4">
        <v>90</v>
      </c>
      <c r="B34" s="4">
        <v>5</v>
      </c>
      <c r="C34" s="4">
        <v>4</v>
      </c>
      <c r="D34" s="4">
        <v>3</v>
      </c>
      <c r="E34" s="4">
        <v>6</v>
      </c>
      <c r="F34" s="4">
        <v>3</v>
      </c>
      <c r="G34" s="4">
        <v>3</v>
      </c>
      <c r="H34" s="4">
        <v>6</v>
      </c>
      <c r="I34" s="4">
        <v>4</v>
      </c>
      <c r="J34" s="4">
        <v>5</v>
      </c>
      <c r="K34" s="4">
        <v>7</v>
      </c>
      <c r="L34" s="4">
        <v>6</v>
      </c>
      <c r="M34" s="4">
        <v>4</v>
      </c>
      <c r="N34" s="4">
        <v>3</v>
      </c>
    </row>
    <row r="35" spans="1:14" x14ac:dyDescent="0.25">
      <c r="A35" s="4">
        <v>91</v>
      </c>
      <c r="B35" s="4">
        <v>5</v>
      </c>
      <c r="C35" s="4">
        <v>6</v>
      </c>
      <c r="D35" s="4">
        <v>3</v>
      </c>
      <c r="E35" s="4">
        <v>7</v>
      </c>
      <c r="F35" s="4">
        <v>3</v>
      </c>
      <c r="G35" s="4">
        <v>6</v>
      </c>
      <c r="H35" s="4">
        <v>6</v>
      </c>
      <c r="I35" s="4">
        <v>7</v>
      </c>
      <c r="J35" s="4">
        <v>6</v>
      </c>
      <c r="K35" s="4">
        <v>7</v>
      </c>
      <c r="L35" s="4">
        <v>7</v>
      </c>
      <c r="M35" s="4">
        <v>6</v>
      </c>
      <c r="N35" s="4">
        <v>6</v>
      </c>
    </row>
    <row r="36" spans="1:14" x14ac:dyDescent="0.25">
      <c r="A36" s="4">
        <v>96</v>
      </c>
      <c r="B36" s="4">
        <v>5</v>
      </c>
      <c r="C36" s="4">
        <v>3</v>
      </c>
      <c r="D36" s="4">
        <v>5</v>
      </c>
      <c r="E36" s="4">
        <v>7</v>
      </c>
      <c r="F36" s="4">
        <v>5</v>
      </c>
      <c r="G36" s="4">
        <v>3</v>
      </c>
      <c r="H36" s="4">
        <v>7</v>
      </c>
      <c r="I36" s="4">
        <v>4</v>
      </c>
      <c r="J36" s="4">
        <v>7</v>
      </c>
      <c r="K36" s="4">
        <v>7</v>
      </c>
      <c r="L36" s="4">
        <v>7</v>
      </c>
      <c r="M36" s="4">
        <v>6</v>
      </c>
      <c r="N36" s="4">
        <v>6</v>
      </c>
    </row>
    <row r="37" spans="1:14" x14ac:dyDescent="0.25">
      <c r="A37" s="4">
        <v>97</v>
      </c>
      <c r="B37" s="4">
        <v>5</v>
      </c>
      <c r="C37" s="4">
        <v>3</v>
      </c>
      <c r="D37" s="4">
        <v>4</v>
      </c>
      <c r="E37" s="4">
        <v>7</v>
      </c>
      <c r="F37" s="4">
        <v>4</v>
      </c>
      <c r="G37" s="4">
        <v>3</v>
      </c>
      <c r="H37" s="4">
        <v>7</v>
      </c>
      <c r="I37" s="4">
        <v>4</v>
      </c>
      <c r="J37" s="4">
        <v>6</v>
      </c>
      <c r="K37" s="4">
        <v>7</v>
      </c>
      <c r="L37" s="4">
        <v>6</v>
      </c>
      <c r="M37" s="4">
        <v>6</v>
      </c>
      <c r="N37" s="4">
        <v>4</v>
      </c>
    </row>
    <row r="38" spans="1:14" x14ac:dyDescent="0.25">
      <c r="A38" s="4">
        <v>100</v>
      </c>
      <c r="B38" s="4">
        <v>5</v>
      </c>
      <c r="C38" s="4">
        <v>3</v>
      </c>
      <c r="D38" s="4">
        <v>4</v>
      </c>
      <c r="E38" s="4">
        <v>7</v>
      </c>
      <c r="F38" s="4">
        <v>4</v>
      </c>
      <c r="G38" s="4">
        <v>5</v>
      </c>
      <c r="H38" s="4">
        <v>5</v>
      </c>
      <c r="I38" s="4">
        <v>4</v>
      </c>
      <c r="J38" s="4">
        <v>5</v>
      </c>
      <c r="K38" s="4">
        <v>7</v>
      </c>
      <c r="L38" s="4">
        <v>7</v>
      </c>
      <c r="M38" s="4">
        <v>7</v>
      </c>
      <c r="N38" s="4">
        <v>6</v>
      </c>
    </row>
    <row r="39" spans="1:14" x14ac:dyDescent="0.25">
      <c r="A39" s="4">
        <v>102</v>
      </c>
      <c r="B39" s="4">
        <v>5</v>
      </c>
      <c r="C39" s="4">
        <v>4</v>
      </c>
      <c r="D39" s="4">
        <v>6</v>
      </c>
      <c r="E39" s="4">
        <v>7</v>
      </c>
      <c r="F39" s="4">
        <v>6</v>
      </c>
      <c r="G39" s="4">
        <v>5</v>
      </c>
      <c r="H39" s="4">
        <v>7</v>
      </c>
      <c r="I39" s="4">
        <v>7</v>
      </c>
      <c r="J39" s="4">
        <v>5</v>
      </c>
      <c r="K39" s="4">
        <v>7</v>
      </c>
      <c r="L39" s="4">
        <v>5</v>
      </c>
      <c r="M39" s="4">
        <v>6</v>
      </c>
      <c r="N39" s="4">
        <v>4</v>
      </c>
    </row>
    <row r="40" spans="1:14" x14ac:dyDescent="0.25">
      <c r="A40" s="4">
        <v>104</v>
      </c>
      <c r="B40" s="4">
        <v>5</v>
      </c>
      <c r="C40" s="4">
        <v>2</v>
      </c>
      <c r="D40" s="4">
        <v>3</v>
      </c>
      <c r="E40" s="4">
        <v>7</v>
      </c>
      <c r="F40" s="4">
        <v>3</v>
      </c>
      <c r="G40" s="4">
        <v>2</v>
      </c>
      <c r="H40" s="4">
        <v>6</v>
      </c>
      <c r="I40" s="4">
        <v>4</v>
      </c>
      <c r="J40" s="4">
        <v>5</v>
      </c>
      <c r="K40" s="4">
        <v>7</v>
      </c>
      <c r="L40" s="4">
        <v>4</v>
      </c>
      <c r="M40" s="4">
        <v>4</v>
      </c>
      <c r="N40" s="4">
        <v>4</v>
      </c>
    </row>
    <row r="41" spans="1:14" x14ac:dyDescent="0.25">
      <c r="A41" s="4">
        <v>105</v>
      </c>
      <c r="B41" s="4">
        <v>5</v>
      </c>
      <c r="C41" s="4">
        <v>6</v>
      </c>
      <c r="D41" s="4">
        <v>4</v>
      </c>
      <c r="E41" s="4">
        <v>7</v>
      </c>
      <c r="F41" s="4">
        <v>4</v>
      </c>
      <c r="G41" s="4">
        <v>6</v>
      </c>
      <c r="H41" s="4">
        <v>6</v>
      </c>
      <c r="I41" s="4">
        <v>6</v>
      </c>
      <c r="J41" s="4">
        <v>5</v>
      </c>
      <c r="K41" s="4">
        <v>7</v>
      </c>
      <c r="L41" s="4">
        <v>5</v>
      </c>
      <c r="M41" s="4">
        <v>4</v>
      </c>
      <c r="N41" s="4">
        <v>4</v>
      </c>
    </row>
    <row r="42" spans="1:14" x14ac:dyDescent="0.25">
      <c r="A42" s="4">
        <v>106</v>
      </c>
      <c r="B42" s="4">
        <v>5</v>
      </c>
      <c r="C42" s="4">
        <v>4</v>
      </c>
      <c r="D42" s="4">
        <v>3</v>
      </c>
      <c r="E42" s="4">
        <v>6</v>
      </c>
      <c r="F42" s="4">
        <v>3</v>
      </c>
      <c r="G42" s="4">
        <v>5</v>
      </c>
      <c r="H42" s="4">
        <v>5</v>
      </c>
      <c r="I42" s="4">
        <v>7</v>
      </c>
      <c r="J42" s="4">
        <v>5</v>
      </c>
      <c r="K42" s="4">
        <v>7</v>
      </c>
      <c r="L42" s="4">
        <v>5</v>
      </c>
      <c r="M42" s="4">
        <v>6</v>
      </c>
      <c r="N42" s="4">
        <v>4</v>
      </c>
    </row>
    <row r="43" spans="1:14" x14ac:dyDescent="0.25">
      <c r="A43" s="4">
        <v>107</v>
      </c>
      <c r="B43" s="4">
        <v>5</v>
      </c>
      <c r="C43" s="4">
        <v>4</v>
      </c>
      <c r="D43" s="4">
        <v>4</v>
      </c>
      <c r="E43" s="4">
        <v>7</v>
      </c>
      <c r="F43" s="4">
        <v>4</v>
      </c>
      <c r="G43" s="4">
        <v>4</v>
      </c>
      <c r="H43" s="4">
        <v>6</v>
      </c>
      <c r="I43" s="4">
        <v>4</v>
      </c>
      <c r="J43" s="4">
        <v>3</v>
      </c>
      <c r="K43" s="4">
        <v>4</v>
      </c>
      <c r="L43" s="4">
        <v>6</v>
      </c>
      <c r="M43" s="4">
        <v>6</v>
      </c>
      <c r="N43" s="4">
        <v>6</v>
      </c>
    </row>
    <row r="44" spans="1:14" x14ac:dyDescent="0.25">
      <c r="A44" s="4">
        <v>111</v>
      </c>
      <c r="B44" s="4">
        <v>4</v>
      </c>
      <c r="C44" s="4">
        <v>3</v>
      </c>
      <c r="D44" s="4">
        <v>4</v>
      </c>
      <c r="E44" s="4">
        <v>6</v>
      </c>
      <c r="F44" s="4">
        <v>4</v>
      </c>
      <c r="G44" s="4">
        <v>3</v>
      </c>
      <c r="H44" s="4">
        <v>5</v>
      </c>
      <c r="I44" s="4">
        <v>4</v>
      </c>
      <c r="J44" s="4">
        <v>3</v>
      </c>
      <c r="K44" s="4">
        <v>4</v>
      </c>
      <c r="L44" s="4">
        <v>3</v>
      </c>
      <c r="M44" s="4">
        <v>3</v>
      </c>
      <c r="N44" s="4">
        <v>2</v>
      </c>
    </row>
    <row r="45" spans="1:14" x14ac:dyDescent="0.25">
      <c r="A45" s="4">
        <v>112</v>
      </c>
      <c r="B45" s="4">
        <v>5</v>
      </c>
      <c r="C45" s="4">
        <v>4</v>
      </c>
      <c r="D45" s="4">
        <v>5</v>
      </c>
      <c r="E45" s="4">
        <v>7</v>
      </c>
      <c r="F45" s="4">
        <v>4</v>
      </c>
      <c r="G45" s="4">
        <v>5</v>
      </c>
      <c r="H45" s="4">
        <v>5</v>
      </c>
      <c r="I45" s="4">
        <v>4</v>
      </c>
      <c r="J45" s="4">
        <v>3</v>
      </c>
      <c r="K45" s="4">
        <v>7</v>
      </c>
      <c r="L45" s="4">
        <v>7</v>
      </c>
      <c r="M45" s="4">
        <v>6</v>
      </c>
      <c r="N45" s="4">
        <v>6</v>
      </c>
    </row>
    <row r="46" spans="1:14" x14ac:dyDescent="0.25">
      <c r="A46" s="4">
        <v>118</v>
      </c>
      <c r="B46" s="4">
        <v>5</v>
      </c>
      <c r="C46" s="4">
        <v>4</v>
      </c>
      <c r="D46" s="4">
        <v>4</v>
      </c>
      <c r="E46" s="4">
        <v>7</v>
      </c>
      <c r="F46" s="4">
        <v>4</v>
      </c>
      <c r="G46" s="4">
        <v>3</v>
      </c>
      <c r="H46" s="4">
        <v>6</v>
      </c>
      <c r="I46" s="4">
        <v>4</v>
      </c>
      <c r="J46" s="4">
        <v>3</v>
      </c>
      <c r="K46" s="4">
        <v>7</v>
      </c>
      <c r="L46" s="4">
        <v>4</v>
      </c>
      <c r="M46" s="4">
        <v>3</v>
      </c>
      <c r="N46" s="4">
        <v>2</v>
      </c>
    </row>
    <row r="47" spans="1:14" x14ac:dyDescent="0.25">
      <c r="A47" s="4">
        <v>122</v>
      </c>
      <c r="B47" s="4">
        <v>5</v>
      </c>
      <c r="C47" s="4">
        <v>4</v>
      </c>
      <c r="D47" s="4">
        <v>3</v>
      </c>
      <c r="E47" s="4">
        <v>6</v>
      </c>
      <c r="F47" s="4">
        <v>3</v>
      </c>
      <c r="G47" s="4">
        <v>4</v>
      </c>
      <c r="H47" s="4">
        <v>6</v>
      </c>
      <c r="I47" s="4">
        <v>4</v>
      </c>
      <c r="J47" s="4">
        <v>5</v>
      </c>
      <c r="K47" s="4">
        <v>7</v>
      </c>
      <c r="L47" s="4">
        <v>5</v>
      </c>
      <c r="M47" s="4">
        <v>4</v>
      </c>
      <c r="N47" s="4">
        <v>3</v>
      </c>
    </row>
    <row r="48" spans="1:14" x14ac:dyDescent="0.25">
      <c r="A48" s="4">
        <v>123</v>
      </c>
      <c r="B48" s="4">
        <v>5</v>
      </c>
      <c r="C48" s="4">
        <v>6</v>
      </c>
      <c r="D48" s="4">
        <v>6</v>
      </c>
      <c r="E48" s="4">
        <v>6</v>
      </c>
      <c r="F48" s="4">
        <v>6</v>
      </c>
      <c r="G48" s="4">
        <v>5</v>
      </c>
      <c r="H48" s="4">
        <v>7</v>
      </c>
      <c r="I48" s="4">
        <v>4</v>
      </c>
      <c r="J48" s="4">
        <v>6</v>
      </c>
      <c r="K48" s="4">
        <v>7</v>
      </c>
      <c r="L48" s="4">
        <v>7</v>
      </c>
      <c r="M48" s="4">
        <v>6</v>
      </c>
      <c r="N48" s="4">
        <v>5</v>
      </c>
    </row>
    <row r="49" spans="1:14" x14ac:dyDescent="0.25">
      <c r="A49" s="4">
        <v>126</v>
      </c>
      <c r="B49" s="4">
        <v>5</v>
      </c>
      <c r="C49" s="4">
        <v>5</v>
      </c>
      <c r="D49" s="4">
        <v>4</v>
      </c>
      <c r="E49" s="4">
        <v>7</v>
      </c>
      <c r="F49" s="4">
        <v>4</v>
      </c>
      <c r="G49" s="4">
        <v>5</v>
      </c>
      <c r="H49" s="4">
        <v>7</v>
      </c>
      <c r="I49" s="4">
        <v>4</v>
      </c>
      <c r="J49" s="4">
        <v>6</v>
      </c>
      <c r="K49" s="4">
        <v>7</v>
      </c>
      <c r="L49" s="4">
        <v>6</v>
      </c>
      <c r="M49" s="4">
        <v>6</v>
      </c>
      <c r="N49" s="4">
        <v>5</v>
      </c>
    </row>
    <row r="50" spans="1:14" x14ac:dyDescent="0.25">
      <c r="A50" s="4">
        <v>127</v>
      </c>
      <c r="B50" s="4">
        <v>5</v>
      </c>
      <c r="C50" s="4">
        <v>4</v>
      </c>
      <c r="D50" s="4">
        <v>4</v>
      </c>
      <c r="E50" s="4">
        <v>7</v>
      </c>
      <c r="F50" s="4">
        <v>4</v>
      </c>
      <c r="G50" s="4">
        <v>4</v>
      </c>
      <c r="H50" s="4">
        <v>6</v>
      </c>
      <c r="I50" s="4">
        <v>4</v>
      </c>
      <c r="J50" s="4">
        <v>3</v>
      </c>
      <c r="K50" s="4">
        <v>4</v>
      </c>
      <c r="L50" s="4">
        <v>4</v>
      </c>
      <c r="M50" s="4">
        <v>4</v>
      </c>
      <c r="N50" s="4">
        <v>3</v>
      </c>
    </row>
    <row r="51" spans="1:14" x14ac:dyDescent="0.25">
      <c r="A51" s="4">
        <v>132</v>
      </c>
      <c r="B51" s="4">
        <v>3</v>
      </c>
      <c r="C51" s="4">
        <v>5</v>
      </c>
      <c r="D51" s="4">
        <v>6</v>
      </c>
      <c r="E51" s="4">
        <v>6</v>
      </c>
      <c r="F51" s="4">
        <v>6</v>
      </c>
      <c r="G51" s="4">
        <v>5</v>
      </c>
      <c r="H51" s="4">
        <v>7</v>
      </c>
      <c r="I51" s="4">
        <v>4</v>
      </c>
      <c r="J51" s="4">
        <v>6</v>
      </c>
      <c r="K51" s="4">
        <v>4</v>
      </c>
      <c r="L51" s="4">
        <v>7</v>
      </c>
      <c r="M51" s="4">
        <v>6</v>
      </c>
      <c r="N51" s="4">
        <v>5</v>
      </c>
    </row>
    <row r="52" spans="1:14" x14ac:dyDescent="0.25">
      <c r="A52" s="4">
        <v>133</v>
      </c>
      <c r="B52" s="4">
        <v>4</v>
      </c>
      <c r="C52" s="4">
        <v>3</v>
      </c>
      <c r="D52" s="4">
        <v>4</v>
      </c>
      <c r="E52" s="4">
        <v>6</v>
      </c>
      <c r="F52" s="4">
        <v>4</v>
      </c>
      <c r="G52" s="4">
        <v>3</v>
      </c>
      <c r="H52" s="4">
        <v>6</v>
      </c>
      <c r="I52" s="4">
        <v>3</v>
      </c>
      <c r="J52" s="4">
        <v>4</v>
      </c>
      <c r="K52" s="4">
        <v>4</v>
      </c>
      <c r="L52" s="4">
        <v>4</v>
      </c>
      <c r="M52" s="4">
        <v>3</v>
      </c>
      <c r="N52" s="4">
        <v>2</v>
      </c>
    </row>
    <row r="53" spans="1:14" x14ac:dyDescent="0.25">
      <c r="A53" s="4">
        <v>135</v>
      </c>
      <c r="B53" s="4">
        <v>5</v>
      </c>
      <c r="C53" s="4">
        <v>5</v>
      </c>
      <c r="D53" s="4">
        <v>5</v>
      </c>
      <c r="E53" s="4">
        <v>7</v>
      </c>
      <c r="F53" s="4">
        <v>4</v>
      </c>
      <c r="G53" s="4">
        <v>5</v>
      </c>
      <c r="H53" s="4">
        <v>7</v>
      </c>
      <c r="I53" s="4">
        <v>4</v>
      </c>
      <c r="J53" s="4">
        <v>6</v>
      </c>
      <c r="K53" s="4">
        <v>7</v>
      </c>
      <c r="L53" s="4">
        <v>6</v>
      </c>
      <c r="M53" s="4">
        <v>6</v>
      </c>
      <c r="N53" s="4">
        <v>6</v>
      </c>
    </row>
    <row r="54" spans="1:14" x14ac:dyDescent="0.25">
      <c r="A54" s="4">
        <v>136</v>
      </c>
      <c r="B54" s="4">
        <v>4</v>
      </c>
      <c r="C54" s="4">
        <v>4</v>
      </c>
      <c r="D54" s="4">
        <v>5</v>
      </c>
      <c r="E54" s="4">
        <v>7</v>
      </c>
      <c r="F54" s="4">
        <v>5</v>
      </c>
      <c r="G54" s="4">
        <v>4</v>
      </c>
      <c r="H54" s="4">
        <v>7</v>
      </c>
      <c r="I54" s="4">
        <v>4</v>
      </c>
      <c r="J54" s="4">
        <v>6</v>
      </c>
      <c r="K54" s="4">
        <v>7</v>
      </c>
      <c r="L54" s="4">
        <v>5</v>
      </c>
      <c r="M54" s="4">
        <v>5</v>
      </c>
      <c r="N54" s="4">
        <v>4</v>
      </c>
    </row>
    <row r="55" spans="1:14" x14ac:dyDescent="0.25">
      <c r="A55" s="4">
        <v>141</v>
      </c>
      <c r="B55" s="4">
        <v>5</v>
      </c>
      <c r="C55" s="4">
        <v>4</v>
      </c>
      <c r="D55" s="4">
        <v>3</v>
      </c>
      <c r="E55" s="4">
        <v>5</v>
      </c>
      <c r="F55" s="4">
        <v>3</v>
      </c>
      <c r="G55" s="4">
        <v>4</v>
      </c>
      <c r="H55" s="4">
        <v>5</v>
      </c>
      <c r="I55" s="4">
        <v>4</v>
      </c>
      <c r="J55" s="4">
        <v>3</v>
      </c>
      <c r="K55" s="4">
        <v>7</v>
      </c>
      <c r="L55" s="4">
        <v>5</v>
      </c>
      <c r="M55" s="4">
        <v>4</v>
      </c>
      <c r="N55" s="4">
        <v>2</v>
      </c>
    </row>
    <row r="56" spans="1:14" x14ac:dyDescent="0.25">
      <c r="A56" s="4">
        <v>146</v>
      </c>
      <c r="B56" s="4">
        <v>5</v>
      </c>
      <c r="C56" s="4">
        <v>4</v>
      </c>
      <c r="D56" s="4">
        <v>4</v>
      </c>
      <c r="E56" s="4">
        <v>7</v>
      </c>
      <c r="F56" s="4">
        <v>4</v>
      </c>
      <c r="G56" s="4">
        <v>4</v>
      </c>
      <c r="H56" s="4">
        <v>7</v>
      </c>
      <c r="I56" s="4">
        <v>4</v>
      </c>
      <c r="J56" s="4">
        <v>3</v>
      </c>
      <c r="K56" s="4">
        <v>7</v>
      </c>
      <c r="L56" s="4">
        <v>6</v>
      </c>
      <c r="M56" s="4">
        <v>5</v>
      </c>
      <c r="N56" s="4">
        <v>5</v>
      </c>
    </row>
    <row r="57" spans="1:14" x14ac:dyDescent="0.25">
      <c r="A57" s="4">
        <v>152</v>
      </c>
      <c r="B57" s="4">
        <v>5</v>
      </c>
      <c r="C57" s="4">
        <v>6</v>
      </c>
      <c r="D57" s="4">
        <v>5</v>
      </c>
      <c r="E57" s="4">
        <v>7</v>
      </c>
      <c r="F57" s="4">
        <v>5</v>
      </c>
      <c r="G57" s="4">
        <v>6</v>
      </c>
      <c r="H57" s="4">
        <v>6</v>
      </c>
      <c r="I57" s="4">
        <v>6</v>
      </c>
      <c r="J57" s="4">
        <v>5</v>
      </c>
      <c r="K57" s="4">
        <v>7</v>
      </c>
      <c r="L57" s="4">
        <v>5</v>
      </c>
      <c r="M57" s="4">
        <v>5</v>
      </c>
      <c r="N57" s="4">
        <v>5</v>
      </c>
    </row>
    <row r="58" spans="1:14" x14ac:dyDescent="0.25">
      <c r="A58" s="4">
        <v>153</v>
      </c>
      <c r="B58" s="4">
        <v>5</v>
      </c>
      <c r="C58" s="4">
        <v>4</v>
      </c>
      <c r="D58" s="4">
        <v>3</v>
      </c>
      <c r="E58" s="4">
        <v>6</v>
      </c>
      <c r="F58" s="4">
        <v>3</v>
      </c>
      <c r="G58" s="4">
        <v>3</v>
      </c>
      <c r="H58" s="4">
        <v>6</v>
      </c>
      <c r="I58" s="4">
        <v>4</v>
      </c>
      <c r="J58" s="4">
        <v>5</v>
      </c>
      <c r="K58" s="4">
        <v>7</v>
      </c>
      <c r="L58" s="4">
        <v>6</v>
      </c>
      <c r="M58" s="4">
        <v>4</v>
      </c>
      <c r="N58" s="4">
        <v>3</v>
      </c>
    </row>
    <row r="59" spans="1:14" x14ac:dyDescent="0.25">
      <c r="A59" s="4">
        <v>154</v>
      </c>
      <c r="B59" s="4">
        <v>5</v>
      </c>
      <c r="C59" s="4">
        <v>6</v>
      </c>
      <c r="D59" s="4">
        <v>3</v>
      </c>
      <c r="E59" s="4">
        <v>7</v>
      </c>
      <c r="F59" s="4">
        <v>3</v>
      </c>
      <c r="G59" s="4">
        <v>6</v>
      </c>
      <c r="H59" s="4">
        <v>6</v>
      </c>
      <c r="I59" s="4">
        <v>7</v>
      </c>
      <c r="J59" s="4">
        <v>6</v>
      </c>
      <c r="K59" s="4">
        <v>7</v>
      </c>
      <c r="L59" s="4">
        <v>6</v>
      </c>
      <c r="M59" s="4">
        <v>6</v>
      </c>
      <c r="N59" s="4">
        <v>6</v>
      </c>
    </row>
    <row r="60" spans="1:14" x14ac:dyDescent="0.25">
      <c r="A60" s="4">
        <v>159</v>
      </c>
      <c r="B60" s="4">
        <v>5</v>
      </c>
      <c r="C60" s="4">
        <v>3</v>
      </c>
      <c r="D60" s="4">
        <v>5</v>
      </c>
      <c r="E60" s="4">
        <v>7</v>
      </c>
      <c r="F60" s="4">
        <v>5</v>
      </c>
      <c r="G60" s="4">
        <v>3</v>
      </c>
      <c r="H60" s="4">
        <v>7</v>
      </c>
      <c r="I60" s="4">
        <v>4</v>
      </c>
      <c r="J60" s="4">
        <v>7</v>
      </c>
      <c r="K60" s="4">
        <v>7</v>
      </c>
      <c r="L60" s="4">
        <v>5</v>
      </c>
      <c r="M60" s="4">
        <v>6</v>
      </c>
      <c r="N60" s="4">
        <v>4</v>
      </c>
    </row>
    <row r="61" spans="1:14" x14ac:dyDescent="0.25">
      <c r="A61" s="4">
        <v>160</v>
      </c>
      <c r="B61" s="4">
        <v>5</v>
      </c>
      <c r="C61" s="4">
        <v>3</v>
      </c>
      <c r="D61" s="4">
        <v>4</v>
      </c>
      <c r="E61" s="4">
        <v>7</v>
      </c>
      <c r="F61" s="4">
        <v>4</v>
      </c>
      <c r="G61" s="4">
        <v>3</v>
      </c>
      <c r="H61" s="4">
        <v>7</v>
      </c>
      <c r="I61" s="4">
        <v>4</v>
      </c>
      <c r="J61" s="4">
        <v>6</v>
      </c>
      <c r="K61" s="4">
        <v>7</v>
      </c>
      <c r="L61" s="4">
        <v>6</v>
      </c>
      <c r="M61" s="4">
        <v>6</v>
      </c>
      <c r="N61" s="4">
        <v>4</v>
      </c>
    </row>
    <row r="62" spans="1:14" x14ac:dyDescent="0.25">
      <c r="A62" s="4">
        <v>163</v>
      </c>
      <c r="B62" s="4">
        <v>5</v>
      </c>
      <c r="C62" s="4">
        <v>3</v>
      </c>
      <c r="D62" s="4">
        <v>4</v>
      </c>
      <c r="E62" s="4">
        <v>7</v>
      </c>
      <c r="F62" s="4">
        <v>4</v>
      </c>
      <c r="G62" s="4">
        <v>5</v>
      </c>
      <c r="H62" s="4">
        <v>5</v>
      </c>
      <c r="I62" s="4">
        <v>4</v>
      </c>
      <c r="J62" s="4">
        <v>5</v>
      </c>
      <c r="K62" s="4">
        <v>7</v>
      </c>
      <c r="L62" s="4">
        <v>7</v>
      </c>
      <c r="M62" s="4">
        <v>6</v>
      </c>
      <c r="N62" s="4">
        <v>6</v>
      </c>
    </row>
    <row r="63" spans="1:14" x14ac:dyDescent="0.25">
      <c r="A63" s="4">
        <v>165</v>
      </c>
      <c r="B63" s="4">
        <v>5</v>
      </c>
      <c r="C63" s="4">
        <v>4</v>
      </c>
      <c r="D63" s="4">
        <v>6</v>
      </c>
      <c r="E63" s="4">
        <v>7</v>
      </c>
      <c r="F63" s="4">
        <v>6</v>
      </c>
      <c r="G63" s="4">
        <v>5</v>
      </c>
      <c r="H63" s="4">
        <v>6</v>
      </c>
      <c r="I63" s="4">
        <v>7</v>
      </c>
      <c r="J63" s="4">
        <v>5</v>
      </c>
      <c r="K63" s="4">
        <v>7</v>
      </c>
      <c r="L63" s="4">
        <v>5</v>
      </c>
      <c r="M63" s="4">
        <v>6</v>
      </c>
      <c r="N63" s="4">
        <v>4</v>
      </c>
    </row>
    <row r="64" spans="1:14" x14ac:dyDescent="0.25">
      <c r="A64" s="4">
        <v>167</v>
      </c>
      <c r="B64" s="4">
        <v>5</v>
      </c>
      <c r="C64" s="4">
        <v>2</v>
      </c>
      <c r="D64" s="4">
        <v>3</v>
      </c>
      <c r="E64" s="4">
        <v>7</v>
      </c>
      <c r="F64" s="4">
        <v>3</v>
      </c>
      <c r="G64" s="4">
        <v>2</v>
      </c>
      <c r="H64" s="4">
        <v>6</v>
      </c>
      <c r="I64" s="4">
        <v>4</v>
      </c>
      <c r="J64" s="4">
        <v>5</v>
      </c>
      <c r="K64" s="4">
        <v>7</v>
      </c>
      <c r="L64" s="4">
        <v>4</v>
      </c>
      <c r="M64" s="4">
        <v>4</v>
      </c>
      <c r="N64" s="4">
        <v>4</v>
      </c>
    </row>
    <row r="65" spans="1:14" x14ac:dyDescent="0.25">
      <c r="A65" s="4">
        <v>168</v>
      </c>
      <c r="B65" s="4">
        <v>5</v>
      </c>
      <c r="C65" s="4">
        <v>6</v>
      </c>
      <c r="D65" s="4">
        <v>4</v>
      </c>
      <c r="E65" s="4">
        <v>7</v>
      </c>
      <c r="F65" s="4">
        <v>4</v>
      </c>
      <c r="G65" s="4">
        <v>6</v>
      </c>
      <c r="H65" s="4">
        <v>6</v>
      </c>
      <c r="I65" s="4">
        <v>6</v>
      </c>
      <c r="J65" s="4">
        <v>5</v>
      </c>
      <c r="K65" s="4">
        <v>7</v>
      </c>
      <c r="L65" s="4">
        <v>6</v>
      </c>
      <c r="M65" s="4">
        <v>6</v>
      </c>
      <c r="N65" s="4">
        <v>5</v>
      </c>
    </row>
    <row r="66" spans="1:14" x14ac:dyDescent="0.25">
      <c r="A66" s="4">
        <v>169</v>
      </c>
      <c r="B66" s="4">
        <v>5</v>
      </c>
      <c r="C66" s="4">
        <v>4</v>
      </c>
      <c r="D66" s="4">
        <v>3</v>
      </c>
      <c r="E66" s="4">
        <v>6</v>
      </c>
      <c r="F66" s="4">
        <v>3</v>
      </c>
      <c r="G66" s="4">
        <v>5</v>
      </c>
      <c r="H66" s="4">
        <v>5</v>
      </c>
      <c r="I66" s="4">
        <v>7</v>
      </c>
      <c r="J66" s="4">
        <v>5</v>
      </c>
      <c r="K66" s="4">
        <v>7</v>
      </c>
      <c r="L66" s="4">
        <v>5</v>
      </c>
      <c r="M66" s="4">
        <v>6</v>
      </c>
      <c r="N66" s="4">
        <v>4</v>
      </c>
    </row>
    <row r="67" spans="1:14" x14ac:dyDescent="0.25">
      <c r="A67" s="4">
        <v>170</v>
      </c>
      <c r="B67" s="4">
        <v>5</v>
      </c>
      <c r="C67" s="4">
        <v>4</v>
      </c>
      <c r="D67" s="4">
        <v>4</v>
      </c>
      <c r="E67" s="4">
        <v>7</v>
      </c>
      <c r="F67" s="4">
        <v>4</v>
      </c>
      <c r="G67" s="4">
        <v>4</v>
      </c>
      <c r="H67" s="4">
        <v>6</v>
      </c>
      <c r="I67" s="4">
        <v>4</v>
      </c>
      <c r="J67" s="4">
        <v>3</v>
      </c>
      <c r="K67" s="4">
        <v>4</v>
      </c>
      <c r="L67" s="4">
        <v>4</v>
      </c>
      <c r="M67" s="4">
        <v>3</v>
      </c>
      <c r="N67" s="4">
        <v>3</v>
      </c>
    </row>
    <row r="68" spans="1:14" x14ac:dyDescent="0.25">
      <c r="A68" s="4">
        <v>174</v>
      </c>
      <c r="B68" s="4">
        <v>4</v>
      </c>
      <c r="C68" s="4">
        <v>3</v>
      </c>
      <c r="D68" s="4">
        <v>4</v>
      </c>
      <c r="E68" s="4">
        <v>6</v>
      </c>
      <c r="F68" s="4">
        <v>4</v>
      </c>
      <c r="G68" s="4">
        <v>3</v>
      </c>
      <c r="H68" s="4">
        <v>5</v>
      </c>
      <c r="I68" s="4">
        <v>4</v>
      </c>
      <c r="J68" s="4">
        <v>3</v>
      </c>
      <c r="K68" s="4">
        <v>4</v>
      </c>
      <c r="L68" s="4">
        <v>3</v>
      </c>
      <c r="M68" s="4">
        <v>3</v>
      </c>
      <c r="N68" s="4">
        <v>2</v>
      </c>
    </row>
    <row r="69" spans="1:14" x14ac:dyDescent="0.25">
      <c r="A69" s="4">
        <v>175</v>
      </c>
      <c r="B69" s="4">
        <v>5</v>
      </c>
      <c r="C69" s="4">
        <v>4</v>
      </c>
      <c r="D69" s="4">
        <v>5</v>
      </c>
      <c r="E69" s="4">
        <v>7</v>
      </c>
      <c r="F69" s="4">
        <v>4</v>
      </c>
      <c r="G69" s="4">
        <v>5</v>
      </c>
      <c r="H69" s="4">
        <v>5</v>
      </c>
      <c r="I69" s="4">
        <v>4</v>
      </c>
      <c r="J69" s="4">
        <v>3</v>
      </c>
      <c r="K69" s="4">
        <v>7</v>
      </c>
      <c r="L69" s="4">
        <v>5</v>
      </c>
      <c r="M69" s="4">
        <v>6</v>
      </c>
      <c r="N69" s="4">
        <v>3</v>
      </c>
    </row>
    <row r="70" spans="1:14" x14ac:dyDescent="0.25">
      <c r="A70" s="4">
        <v>181</v>
      </c>
      <c r="B70" s="4">
        <v>5</v>
      </c>
      <c r="C70" s="4">
        <v>4</v>
      </c>
      <c r="D70" s="4">
        <v>4</v>
      </c>
      <c r="E70" s="4">
        <v>7</v>
      </c>
      <c r="F70" s="4">
        <v>4</v>
      </c>
      <c r="G70" s="4">
        <v>3</v>
      </c>
      <c r="H70" s="4">
        <v>7</v>
      </c>
      <c r="I70" s="4">
        <v>4</v>
      </c>
      <c r="J70" s="4">
        <v>3</v>
      </c>
      <c r="K70" s="4">
        <v>7</v>
      </c>
      <c r="L70" s="4">
        <v>4</v>
      </c>
      <c r="M70" s="4">
        <v>3</v>
      </c>
      <c r="N70" s="4">
        <v>2</v>
      </c>
    </row>
    <row r="71" spans="1:14" x14ac:dyDescent="0.25">
      <c r="A71" s="4">
        <v>185</v>
      </c>
      <c r="B71" s="4">
        <v>5</v>
      </c>
      <c r="C71" s="4">
        <v>4</v>
      </c>
      <c r="D71" s="4">
        <v>3</v>
      </c>
      <c r="E71" s="4">
        <v>6</v>
      </c>
      <c r="F71" s="4">
        <v>3</v>
      </c>
      <c r="G71" s="4">
        <v>4</v>
      </c>
      <c r="H71" s="4">
        <v>6</v>
      </c>
      <c r="I71" s="4">
        <v>4</v>
      </c>
      <c r="J71" s="4">
        <v>5</v>
      </c>
      <c r="K71" s="4">
        <v>7</v>
      </c>
      <c r="L71" s="4">
        <v>5</v>
      </c>
      <c r="M71" s="4">
        <v>4</v>
      </c>
      <c r="N71" s="4">
        <v>3</v>
      </c>
    </row>
    <row r="72" spans="1:14" x14ac:dyDescent="0.25">
      <c r="A72" s="4">
        <v>186</v>
      </c>
      <c r="B72" s="4">
        <v>5</v>
      </c>
      <c r="C72" s="4">
        <v>6</v>
      </c>
      <c r="D72" s="4">
        <v>6</v>
      </c>
      <c r="E72" s="4">
        <v>6</v>
      </c>
      <c r="F72" s="4">
        <v>6</v>
      </c>
      <c r="G72" s="4">
        <v>5</v>
      </c>
      <c r="H72" s="4">
        <v>7</v>
      </c>
      <c r="I72" s="4">
        <v>4</v>
      </c>
      <c r="J72" s="4">
        <v>6</v>
      </c>
      <c r="K72" s="4">
        <v>7</v>
      </c>
      <c r="L72" s="4">
        <v>7</v>
      </c>
      <c r="M72" s="4">
        <v>7</v>
      </c>
      <c r="N72" s="4">
        <v>7</v>
      </c>
    </row>
    <row r="73" spans="1:14" x14ac:dyDescent="0.25">
      <c r="A73" s="4">
        <v>189</v>
      </c>
      <c r="B73" s="4">
        <v>5</v>
      </c>
      <c r="C73" s="4">
        <v>5</v>
      </c>
      <c r="D73" s="4">
        <v>4</v>
      </c>
      <c r="E73" s="4">
        <v>7</v>
      </c>
      <c r="F73" s="4">
        <v>4</v>
      </c>
      <c r="G73" s="4">
        <v>5</v>
      </c>
      <c r="H73" s="4">
        <v>7</v>
      </c>
      <c r="I73" s="4">
        <v>4</v>
      </c>
      <c r="J73" s="4">
        <v>6</v>
      </c>
      <c r="K73" s="4">
        <v>7</v>
      </c>
      <c r="L73" s="4">
        <v>6</v>
      </c>
      <c r="M73" s="4">
        <v>6</v>
      </c>
      <c r="N73" s="4">
        <v>4</v>
      </c>
    </row>
    <row r="74" spans="1:14" x14ac:dyDescent="0.25">
      <c r="A74" s="4">
        <v>190</v>
      </c>
      <c r="B74" s="4">
        <v>5</v>
      </c>
      <c r="C74" s="4">
        <v>5</v>
      </c>
      <c r="D74" s="4">
        <v>5</v>
      </c>
      <c r="E74" s="4">
        <v>7</v>
      </c>
      <c r="F74" s="4">
        <v>4</v>
      </c>
      <c r="G74" s="4">
        <v>5</v>
      </c>
      <c r="H74" s="4">
        <v>7</v>
      </c>
      <c r="I74" s="4">
        <v>4</v>
      </c>
      <c r="J74" s="4">
        <v>6</v>
      </c>
      <c r="K74" s="4">
        <v>7</v>
      </c>
      <c r="L74" s="4">
        <v>7</v>
      </c>
      <c r="M74" s="4">
        <v>6</v>
      </c>
      <c r="N74" s="4">
        <v>6</v>
      </c>
    </row>
    <row r="75" spans="1:14" x14ac:dyDescent="0.25">
      <c r="A75" s="4">
        <v>192</v>
      </c>
      <c r="B75" s="4">
        <v>5</v>
      </c>
      <c r="C75" s="4">
        <v>4</v>
      </c>
      <c r="D75" s="4">
        <v>4</v>
      </c>
      <c r="E75" s="4">
        <v>7</v>
      </c>
      <c r="F75" s="4">
        <v>4</v>
      </c>
      <c r="G75" s="4">
        <v>4</v>
      </c>
      <c r="H75" s="4">
        <v>6</v>
      </c>
      <c r="I75" s="4">
        <v>4</v>
      </c>
      <c r="J75" s="4">
        <v>3</v>
      </c>
      <c r="K75" s="4">
        <v>7</v>
      </c>
      <c r="L75" s="4">
        <v>4</v>
      </c>
      <c r="M75" s="4">
        <v>3</v>
      </c>
      <c r="N75" s="4">
        <v>2</v>
      </c>
    </row>
    <row r="76" spans="1:14" x14ac:dyDescent="0.25">
      <c r="A76" s="4">
        <v>193</v>
      </c>
      <c r="B76" s="4">
        <v>5</v>
      </c>
      <c r="C76" s="4">
        <v>5</v>
      </c>
      <c r="D76" s="4">
        <v>5</v>
      </c>
      <c r="E76" s="4">
        <v>7</v>
      </c>
      <c r="F76" s="4">
        <v>4</v>
      </c>
      <c r="G76" s="4">
        <v>5</v>
      </c>
      <c r="H76" s="4">
        <v>6</v>
      </c>
      <c r="I76" s="4">
        <v>4</v>
      </c>
      <c r="J76" s="4">
        <v>6</v>
      </c>
      <c r="K76" s="4">
        <v>7</v>
      </c>
      <c r="L76" s="4">
        <v>5</v>
      </c>
      <c r="M76" s="4">
        <v>6</v>
      </c>
      <c r="N76" s="4">
        <v>5</v>
      </c>
    </row>
    <row r="77" spans="1:14" x14ac:dyDescent="0.25">
      <c r="A77" s="4">
        <v>197</v>
      </c>
      <c r="B77" s="4">
        <v>5</v>
      </c>
      <c r="C77" s="4">
        <v>5</v>
      </c>
      <c r="D77" s="4">
        <v>4</v>
      </c>
      <c r="E77" s="4">
        <v>7</v>
      </c>
      <c r="F77" s="4">
        <v>4</v>
      </c>
      <c r="G77" s="4">
        <v>5</v>
      </c>
      <c r="H77" s="4">
        <v>7</v>
      </c>
      <c r="I77" s="4">
        <v>4</v>
      </c>
      <c r="J77" s="4">
        <v>6</v>
      </c>
      <c r="K77" s="4">
        <v>7</v>
      </c>
      <c r="L77" s="4">
        <v>6</v>
      </c>
      <c r="M77" s="4">
        <v>6</v>
      </c>
      <c r="N77" s="4">
        <v>4</v>
      </c>
    </row>
    <row r="78" spans="1:14" x14ac:dyDescent="0.25">
      <c r="A78" s="4">
        <v>201</v>
      </c>
      <c r="B78" s="4">
        <v>5</v>
      </c>
      <c r="C78" s="4">
        <v>4</v>
      </c>
      <c r="D78" s="4">
        <v>4</v>
      </c>
      <c r="E78" s="4">
        <v>7</v>
      </c>
      <c r="F78" s="4">
        <v>4</v>
      </c>
      <c r="G78" s="4">
        <v>4</v>
      </c>
      <c r="H78" s="4">
        <v>6</v>
      </c>
      <c r="I78" s="4">
        <v>4</v>
      </c>
      <c r="J78" s="4">
        <v>3</v>
      </c>
      <c r="K78" s="4">
        <v>4</v>
      </c>
      <c r="L78" s="4">
        <v>4</v>
      </c>
      <c r="M78" s="4">
        <v>4</v>
      </c>
      <c r="N78" s="4">
        <v>3</v>
      </c>
    </row>
    <row r="79" spans="1:14" x14ac:dyDescent="0.25">
      <c r="A79" s="4">
        <v>206</v>
      </c>
      <c r="B79" s="4">
        <v>3</v>
      </c>
      <c r="C79" s="4">
        <v>5</v>
      </c>
      <c r="D79" s="4">
        <v>6</v>
      </c>
      <c r="E79" s="4">
        <v>6</v>
      </c>
      <c r="F79" s="4">
        <v>6</v>
      </c>
      <c r="G79" s="4">
        <v>5</v>
      </c>
      <c r="H79" s="4">
        <v>7</v>
      </c>
      <c r="I79" s="4">
        <v>4</v>
      </c>
      <c r="J79" s="4">
        <v>6</v>
      </c>
      <c r="K79" s="4">
        <v>4</v>
      </c>
      <c r="L79" s="4">
        <v>5</v>
      </c>
      <c r="M79" s="4">
        <v>5</v>
      </c>
      <c r="N79" s="4">
        <v>5</v>
      </c>
    </row>
    <row r="80" spans="1:14" x14ac:dyDescent="0.25">
      <c r="A80" s="4">
        <v>207</v>
      </c>
      <c r="B80" s="4">
        <v>4</v>
      </c>
      <c r="C80" s="4">
        <v>3</v>
      </c>
      <c r="D80" s="4">
        <v>4</v>
      </c>
      <c r="E80" s="4">
        <v>6</v>
      </c>
      <c r="F80" s="4">
        <v>4</v>
      </c>
      <c r="G80" s="4">
        <v>3</v>
      </c>
      <c r="H80" s="4">
        <v>6</v>
      </c>
      <c r="I80" s="4">
        <v>3</v>
      </c>
      <c r="J80" s="4">
        <v>4</v>
      </c>
      <c r="K80" s="4">
        <v>4</v>
      </c>
      <c r="L80" s="4">
        <v>4</v>
      </c>
      <c r="M80" s="4">
        <v>3</v>
      </c>
      <c r="N80" s="4">
        <v>2</v>
      </c>
    </row>
    <row r="81" spans="1:14" x14ac:dyDescent="0.25">
      <c r="A81" s="4">
        <v>209</v>
      </c>
      <c r="B81" s="4">
        <v>5</v>
      </c>
      <c r="C81" s="4">
        <v>5</v>
      </c>
      <c r="D81" s="4">
        <v>5</v>
      </c>
      <c r="E81" s="4">
        <v>7</v>
      </c>
      <c r="F81" s="4">
        <v>4</v>
      </c>
      <c r="G81" s="4">
        <v>5</v>
      </c>
      <c r="H81" s="4">
        <v>7</v>
      </c>
      <c r="I81" s="4">
        <v>4</v>
      </c>
      <c r="J81" s="4">
        <v>6</v>
      </c>
      <c r="K81" s="4">
        <v>7</v>
      </c>
      <c r="L81" s="4">
        <v>7</v>
      </c>
      <c r="M81" s="4">
        <v>6</v>
      </c>
      <c r="N81" s="4">
        <v>6</v>
      </c>
    </row>
    <row r="82" spans="1:14" x14ac:dyDescent="0.25">
      <c r="A82" s="4">
        <v>210</v>
      </c>
      <c r="B82" s="4">
        <v>4</v>
      </c>
      <c r="C82" s="4">
        <v>4</v>
      </c>
      <c r="D82" s="4">
        <v>5</v>
      </c>
      <c r="E82" s="4">
        <v>7</v>
      </c>
      <c r="F82" s="4">
        <v>5</v>
      </c>
      <c r="G82" s="4">
        <v>4</v>
      </c>
      <c r="H82" s="4">
        <v>7</v>
      </c>
      <c r="I82" s="4">
        <v>4</v>
      </c>
      <c r="J82" s="4">
        <v>6</v>
      </c>
      <c r="K82" s="4">
        <v>7</v>
      </c>
      <c r="L82" s="4">
        <v>5</v>
      </c>
      <c r="M82" s="4">
        <v>5</v>
      </c>
      <c r="N82" s="4">
        <v>5</v>
      </c>
    </row>
    <row r="83" spans="1:14" x14ac:dyDescent="0.25">
      <c r="A83" s="4">
        <v>215</v>
      </c>
      <c r="B83" s="4">
        <v>5</v>
      </c>
      <c r="C83" s="4">
        <v>4</v>
      </c>
      <c r="D83" s="4">
        <v>3</v>
      </c>
      <c r="E83" s="4">
        <v>5</v>
      </c>
      <c r="F83" s="4">
        <v>3</v>
      </c>
      <c r="G83" s="4">
        <v>4</v>
      </c>
      <c r="H83" s="4">
        <v>5</v>
      </c>
      <c r="I83" s="4">
        <v>4</v>
      </c>
      <c r="J83" s="4">
        <v>3</v>
      </c>
      <c r="K83" s="4">
        <v>7</v>
      </c>
      <c r="L83" s="4">
        <v>5</v>
      </c>
      <c r="M83" s="4">
        <v>4</v>
      </c>
      <c r="N83" s="4">
        <v>2</v>
      </c>
    </row>
    <row r="84" spans="1:14" x14ac:dyDescent="0.25">
      <c r="A84" s="4">
        <v>220</v>
      </c>
      <c r="B84" s="4">
        <v>5</v>
      </c>
      <c r="C84" s="4">
        <v>4</v>
      </c>
      <c r="D84" s="4">
        <v>4</v>
      </c>
      <c r="E84" s="4">
        <v>7</v>
      </c>
      <c r="F84" s="4">
        <v>4</v>
      </c>
      <c r="G84" s="4">
        <v>4</v>
      </c>
      <c r="H84" s="4">
        <v>6</v>
      </c>
      <c r="I84" s="4">
        <v>4</v>
      </c>
      <c r="J84" s="4">
        <v>3</v>
      </c>
      <c r="K84" s="4">
        <v>7</v>
      </c>
      <c r="L84" s="4">
        <v>4</v>
      </c>
      <c r="M84" s="4">
        <v>3</v>
      </c>
      <c r="N84" s="4">
        <v>2</v>
      </c>
    </row>
    <row r="85" spans="1:14" x14ac:dyDescent="0.25">
      <c r="A85" s="4">
        <v>226</v>
      </c>
      <c r="B85" s="4">
        <v>5</v>
      </c>
      <c r="C85" s="4">
        <v>6</v>
      </c>
      <c r="D85" s="4">
        <v>5</v>
      </c>
      <c r="E85" s="4">
        <v>7</v>
      </c>
      <c r="F85" s="4">
        <v>5</v>
      </c>
      <c r="G85" s="4">
        <v>6</v>
      </c>
      <c r="H85" s="4">
        <v>6</v>
      </c>
      <c r="I85" s="4">
        <v>6</v>
      </c>
      <c r="J85" s="4">
        <v>5</v>
      </c>
      <c r="K85" s="4">
        <v>7</v>
      </c>
      <c r="L85" s="4">
        <v>6</v>
      </c>
      <c r="M85" s="4">
        <v>6</v>
      </c>
      <c r="N85" s="4">
        <v>5</v>
      </c>
    </row>
    <row r="86" spans="1:14" x14ac:dyDescent="0.25">
      <c r="A86" s="4">
        <v>227</v>
      </c>
      <c r="B86" s="4">
        <v>5</v>
      </c>
      <c r="C86" s="4">
        <v>4</v>
      </c>
      <c r="D86" s="4">
        <v>3</v>
      </c>
      <c r="E86" s="4">
        <v>6</v>
      </c>
      <c r="F86" s="4">
        <v>3</v>
      </c>
      <c r="G86" s="4">
        <v>3</v>
      </c>
      <c r="H86" s="4">
        <v>6</v>
      </c>
      <c r="I86" s="4">
        <v>4</v>
      </c>
      <c r="J86" s="4">
        <v>5</v>
      </c>
      <c r="K86" s="4">
        <v>7</v>
      </c>
      <c r="L86" s="4">
        <v>6</v>
      </c>
      <c r="M86" s="4">
        <v>4</v>
      </c>
      <c r="N86" s="4">
        <v>3</v>
      </c>
    </row>
    <row r="87" spans="1:14" x14ac:dyDescent="0.25">
      <c r="A87" s="4">
        <v>228</v>
      </c>
      <c r="B87" s="4">
        <v>5</v>
      </c>
      <c r="C87" s="4">
        <v>6</v>
      </c>
      <c r="D87" s="4">
        <v>3</v>
      </c>
      <c r="E87" s="4">
        <v>7</v>
      </c>
      <c r="F87" s="4">
        <v>3</v>
      </c>
      <c r="G87" s="4">
        <v>6</v>
      </c>
      <c r="H87" s="4">
        <v>7</v>
      </c>
      <c r="I87" s="4">
        <v>7</v>
      </c>
      <c r="J87" s="4">
        <v>6</v>
      </c>
      <c r="K87" s="4">
        <v>7</v>
      </c>
      <c r="L87" s="4">
        <v>6</v>
      </c>
      <c r="M87" s="4">
        <v>6</v>
      </c>
      <c r="N87" s="4">
        <v>5</v>
      </c>
    </row>
    <row r="88" spans="1:14" x14ac:dyDescent="0.25">
      <c r="A88" s="4">
        <v>233</v>
      </c>
      <c r="B88" s="4">
        <v>5</v>
      </c>
      <c r="C88" s="4">
        <v>3</v>
      </c>
      <c r="D88" s="4">
        <v>5</v>
      </c>
      <c r="E88" s="4">
        <v>7</v>
      </c>
      <c r="F88" s="4">
        <v>5</v>
      </c>
      <c r="G88" s="4">
        <v>3</v>
      </c>
      <c r="H88" s="4">
        <v>7</v>
      </c>
      <c r="I88" s="4">
        <v>4</v>
      </c>
      <c r="J88" s="4">
        <v>7</v>
      </c>
      <c r="K88" s="4">
        <v>7</v>
      </c>
      <c r="L88" s="4">
        <v>5</v>
      </c>
      <c r="M88" s="4">
        <v>6</v>
      </c>
      <c r="N88" s="4">
        <v>4</v>
      </c>
    </row>
    <row r="89" spans="1:14" x14ac:dyDescent="0.25">
      <c r="A89" s="4">
        <v>234</v>
      </c>
      <c r="B89" s="4">
        <v>5</v>
      </c>
      <c r="C89" s="4">
        <v>3</v>
      </c>
      <c r="D89" s="4">
        <v>4</v>
      </c>
      <c r="E89" s="4">
        <v>7</v>
      </c>
      <c r="F89" s="4">
        <v>4</v>
      </c>
      <c r="G89" s="4">
        <v>3</v>
      </c>
      <c r="H89" s="4">
        <v>6</v>
      </c>
      <c r="I89" s="4">
        <v>4</v>
      </c>
      <c r="J89" s="4">
        <v>6</v>
      </c>
      <c r="K89" s="4">
        <v>7</v>
      </c>
      <c r="L89" s="4">
        <v>6</v>
      </c>
      <c r="M89" s="4">
        <v>6</v>
      </c>
      <c r="N89" s="4">
        <v>5</v>
      </c>
    </row>
    <row r="90" spans="1:14" x14ac:dyDescent="0.25">
      <c r="A90" s="4">
        <v>237</v>
      </c>
      <c r="B90" s="4">
        <v>5</v>
      </c>
      <c r="C90" s="4">
        <v>3</v>
      </c>
      <c r="D90" s="4">
        <v>4</v>
      </c>
      <c r="E90" s="4">
        <v>7</v>
      </c>
      <c r="F90" s="4">
        <v>4</v>
      </c>
      <c r="G90" s="4">
        <v>5</v>
      </c>
      <c r="H90" s="4">
        <v>5</v>
      </c>
      <c r="I90" s="4">
        <v>4</v>
      </c>
      <c r="J90" s="4">
        <v>5</v>
      </c>
      <c r="K90" s="4">
        <v>7</v>
      </c>
      <c r="L90" s="4">
        <v>7</v>
      </c>
      <c r="M90" s="4">
        <v>7</v>
      </c>
      <c r="N90" s="4">
        <v>6</v>
      </c>
    </row>
    <row r="91" spans="1:14" x14ac:dyDescent="0.25">
      <c r="A91" s="4">
        <v>239</v>
      </c>
      <c r="B91" s="4">
        <v>5</v>
      </c>
      <c r="C91" s="4">
        <v>4</v>
      </c>
      <c r="D91" s="4">
        <v>6</v>
      </c>
      <c r="E91" s="4">
        <v>7</v>
      </c>
      <c r="F91" s="4">
        <v>6</v>
      </c>
      <c r="G91" s="4">
        <v>5</v>
      </c>
      <c r="H91" s="4">
        <v>7</v>
      </c>
      <c r="I91" s="4">
        <v>7</v>
      </c>
      <c r="J91" s="4">
        <v>5</v>
      </c>
      <c r="K91" s="4">
        <v>7</v>
      </c>
      <c r="L91" s="4">
        <v>5</v>
      </c>
      <c r="M91" s="4">
        <v>6</v>
      </c>
      <c r="N91" s="4">
        <v>4</v>
      </c>
    </row>
    <row r="92" spans="1:14" x14ac:dyDescent="0.25">
      <c r="A92" s="4">
        <v>241</v>
      </c>
      <c r="B92" s="4">
        <v>5</v>
      </c>
      <c r="C92" s="4">
        <v>2</v>
      </c>
      <c r="D92" s="4">
        <v>3</v>
      </c>
      <c r="E92" s="4">
        <v>7</v>
      </c>
      <c r="F92" s="4">
        <v>3</v>
      </c>
      <c r="G92" s="4">
        <v>2</v>
      </c>
      <c r="H92" s="4">
        <v>5</v>
      </c>
      <c r="I92" s="4">
        <v>4</v>
      </c>
      <c r="J92" s="4">
        <v>5</v>
      </c>
      <c r="K92" s="4">
        <v>7</v>
      </c>
      <c r="L92" s="4">
        <v>4</v>
      </c>
      <c r="M92" s="4">
        <v>4</v>
      </c>
      <c r="N92" s="4">
        <v>4</v>
      </c>
    </row>
    <row r="93" spans="1:14" x14ac:dyDescent="0.25">
      <c r="A93" s="4">
        <v>242</v>
      </c>
      <c r="B93" s="4">
        <v>5</v>
      </c>
      <c r="C93" s="4">
        <v>6</v>
      </c>
      <c r="D93" s="4">
        <v>4</v>
      </c>
      <c r="E93" s="4">
        <v>7</v>
      </c>
      <c r="F93" s="4">
        <v>4</v>
      </c>
      <c r="G93" s="4">
        <v>6</v>
      </c>
      <c r="H93" s="4">
        <v>5</v>
      </c>
      <c r="I93" s="4">
        <v>6</v>
      </c>
      <c r="J93" s="4">
        <v>5</v>
      </c>
      <c r="K93" s="4">
        <v>7</v>
      </c>
      <c r="L93" s="4">
        <v>6</v>
      </c>
      <c r="M93" s="4">
        <v>6</v>
      </c>
      <c r="N93" s="4">
        <v>5</v>
      </c>
    </row>
    <row r="94" spans="1:14" x14ac:dyDescent="0.25">
      <c r="A94" s="4">
        <v>243</v>
      </c>
      <c r="B94" s="4">
        <v>5</v>
      </c>
      <c r="C94" s="4">
        <v>4</v>
      </c>
      <c r="D94" s="4">
        <v>3</v>
      </c>
      <c r="E94" s="4">
        <v>6</v>
      </c>
      <c r="F94" s="4">
        <v>3</v>
      </c>
      <c r="G94" s="4">
        <v>5</v>
      </c>
      <c r="H94" s="4">
        <v>5</v>
      </c>
      <c r="I94" s="4">
        <v>7</v>
      </c>
      <c r="J94" s="4">
        <v>5</v>
      </c>
      <c r="K94" s="4">
        <v>7</v>
      </c>
      <c r="L94" s="4">
        <v>5</v>
      </c>
      <c r="M94" s="4">
        <v>6</v>
      </c>
      <c r="N94" s="4">
        <v>4</v>
      </c>
    </row>
    <row r="95" spans="1:14" x14ac:dyDescent="0.25">
      <c r="A95" s="4">
        <v>244</v>
      </c>
      <c r="B95" s="4">
        <v>5</v>
      </c>
      <c r="C95" s="4">
        <v>4</v>
      </c>
      <c r="D95" s="4">
        <v>4</v>
      </c>
      <c r="E95" s="4">
        <v>7</v>
      </c>
      <c r="F95" s="4">
        <v>4</v>
      </c>
      <c r="G95" s="4">
        <v>4</v>
      </c>
      <c r="H95" s="4">
        <v>6</v>
      </c>
      <c r="I95" s="4">
        <v>4</v>
      </c>
      <c r="J95" s="4">
        <v>3</v>
      </c>
      <c r="K95" s="4">
        <v>4</v>
      </c>
      <c r="L95" s="4">
        <v>4</v>
      </c>
      <c r="M95" s="4">
        <v>3</v>
      </c>
      <c r="N95" s="4">
        <v>3</v>
      </c>
    </row>
    <row r="96" spans="1:14" x14ac:dyDescent="0.25">
      <c r="A96" s="4">
        <v>248</v>
      </c>
      <c r="B96" s="4">
        <v>4</v>
      </c>
      <c r="C96" s="4">
        <v>3</v>
      </c>
      <c r="D96" s="4">
        <v>4</v>
      </c>
      <c r="E96" s="4">
        <v>6</v>
      </c>
      <c r="F96" s="4">
        <v>4</v>
      </c>
      <c r="G96" s="4">
        <v>3</v>
      </c>
      <c r="H96" s="4">
        <v>5</v>
      </c>
      <c r="I96" s="4">
        <v>4</v>
      </c>
      <c r="J96" s="4">
        <v>3</v>
      </c>
      <c r="K96" s="4">
        <v>4</v>
      </c>
      <c r="L96" s="4">
        <v>3</v>
      </c>
      <c r="M96" s="4">
        <v>3</v>
      </c>
      <c r="N96" s="4">
        <v>2</v>
      </c>
    </row>
    <row r="97" spans="1:14" x14ac:dyDescent="0.25">
      <c r="A97" s="4">
        <v>249</v>
      </c>
      <c r="B97" s="4">
        <v>5</v>
      </c>
      <c r="C97" s="4">
        <v>4</v>
      </c>
      <c r="D97" s="4">
        <v>5</v>
      </c>
      <c r="E97" s="4">
        <v>7</v>
      </c>
      <c r="F97" s="4">
        <v>4</v>
      </c>
      <c r="G97" s="4">
        <v>5</v>
      </c>
      <c r="H97" s="4">
        <v>5</v>
      </c>
      <c r="I97" s="4">
        <v>4</v>
      </c>
      <c r="J97" s="4">
        <v>3</v>
      </c>
      <c r="K97" s="4">
        <v>7</v>
      </c>
      <c r="L97" s="4">
        <v>7</v>
      </c>
      <c r="M97" s="4">
        <v>7</v>
      </c>
      <c r="N97" s="4">
        <v>6</v>
      </c>
    </row>
    <row r="98" spans="1:14" x14ac:dyDescent="0.25">
      <c r="A98" s="4">
        <v>255</v>
      </c>
      <c r="B98" s="4">
        <v>5</v>
      </c>
      <c r="C98" s="4">
        <v>4</v>
      </c>
      <c r="D98" s="4">
        <v>4</v>
      </c>
      <c r="E98" s="4">
        <v>7</v>
      </c>
      <c r="F98" s="4">
        <v>4</v>
      </c>
      <c r="G98" s="4">
        <v>3</v>
      </c>
      <c r="H98" s="4">
        <v>7</v>
      </c>
      <c r="I98" s="4">
        <v>4</v>
      </c>
      <c r="J98" s="4">
        <v>4</v>
      </c>
      <c r="K98" s="4">
        <v>7</v>
      </c>
      <c r="L98" s="4">
        <v>4</v>
      </c>
      <c r="M98" s="4">
        <v>3</v>
      </c>
      <c r="N98" s="4">
        <v>2</v>
      </c>
    </row>
    <row r="99" spans="1:14" x14ac:dyDescent="0.25">
      <c r="A99" s="4">
        <v>259</v>
      </c>
      <c r="B99" s="4">
        <v>5</v>
      </c>
      <c r="C99" s="4">
        <v>4</v>
      </c>
      <c r="D99" s="4">
        <v>3</v>
      </c>
      <c r="E99" s="4">
        <v>6</v>
      </c>
      <c r="F99" s="4">
        <v>3</v>
      </c>
      <c r="G99" s="4">
        <v>4</v>
      </c>
      <c r="H99" s="4">
        <v>6</v>
      </c>
      <c r="I99" s="4">
        <v>4</v>
      </c>
      <c r="J99" s="4">
        <v>5</v>
      </c>
      <c r="K99" s="4">
        <v>7</v>
      </c>
      <c r="L99" s="4">
        <v>5</v>
      </c>
      <c r="M99" s="4">
        <v>4</v>
      </c>
      <c r="N99" s="4">
        <v>2</v>
      </c>
    </row>
    <row r="100" spans="1:14" x14ac:dyDescent="0.25">
      <c r="A100" s="4">
        <v>260</v>
      </c>
      <c r="B100" s="4">
        <v>5</v>
      </c>
      <c r="C100" s="4">
        <v>6</v>
      </c>
      <c r="D100" s="4">
        <v>6</v>
      </c>
      <c r="E100" s="4">
        <v>6</v>
      </c>
      <c r="F100" s="4">
        <v>6</v>
      </c>
      <c r="G100" s="4">
        <v>5</v>
      </c>
      <c r="H100" s="4">
        <v>7</v>
      </c>
      <c r="I100" s="4">
        <v>4</v>
      </c>
      <c r="J100" s="4">
        <v>6</v>
      </c>
      <c r="K100" s="4">
        <v>7</v>
      </c>
      <c r="L100" s="4">
        <v>6</v>
      </c>
      <c r="M100" s="4">
        <v>6</v>
      </c>
      <c r="N100" s="4">
        <v>5</v>
      </c>
    </row>
    <row r="101" spans="1:14" x14ac:dyDescent="0.25">
      <c r="A101" s="4">
        <v>263</v>
      </c>
      <c r="B101" s="4">
        <v>5</v>
      </c>
      <c r="C101" s="4">
        <v>5</v>
      </c>
      <c r="D101" s="4">
        <v>4</v>
      </c>
      <c r="E101" s="4">
        <v>7</v>
      </c>
      <c r="F101" s="4">
        <v>4</v>
      </c>
      <c r="G101" s="4">
        <v>5</v>
      </c>
      <c r="H101" s="4">
        <v>7</v>
      </c>
      <c r="I101" s="4">
        <v>4</v>
      </c>
      <c r="J101" s="4">
        <v>6</v>
      </c>
      <c r="K101" s="4">
        <v>7</v>
      </c>
      <c r="L101" s="4">
        <v>6</v>
      </c>
      <c r="M101" s="4">
        <v>6</v>
      </c>
      <c r="N101" s="4">
        <v>4</v>
      </c>
    </row>
    <row r="102" spans="1:14" x14ac:dyDescent="0.25">
      <c r="A102" s="4">
        <v>264</v>
      </c>
      <c r="B102" s="4">
        <v>5</v>
      </c>
      <c r="C102" s="4">
        <v>4</v>
      </c>
      <c r="D102" s="4">
        <v>4</v>
      </c>
      <c r="E102" s="4">
        <v>7</v>
      </c>
      <c r="F102" s="4">
        <v>4</v>
      </c>
      <c r="G102" s="4">
        <v>4</v>
      </c>
      <c r="H102" s="4">
        <v>6</v>
      </c>
      <c r="I102" s="4">
        <v>4</v>
      </c>
      <c r="J102" s="4">
        <v>3</v>
      </c>
      <c r="K102" s="4">
        <v>4</v>
      </c>
      <c r="L102" s="4">
        <v>4</v>
      </c>
      <c r="M102" s="4">
        <v>4</v>
      </c>
      <c r="N102" s="4">
        <v>3</v>
      </c>
    </row>
    <row r="103" spans="1:14" x14ac:dyDescent="0.25">
      <c r="A103" s="4">
        <v>269</v>
      </c>
      <c r="B103" s="4">
        <v>3</v>
      </c>
      <c r="C103" s="4">
        <v>5</v>
      </c>
      <c r="D103" s="4">
        <v>6</v>
      </c>
      <c r="E103" s="4">
        <v>6</v>
      </c>
      <c r="F103" s="4">
        <v>6</v>
      </c>
      <c r="G103" s="4">
        <v>5</v>
      </c>
      <c r="H103" s="4">
        <v>7</v>
      </c>
      <c r="I103" s="4">
        <v>4</v>
      </c>
      <c r="J103" s="4">
        <v>6</v>
      </c>
      <c r="K103" s="4">
        <v>4</v>
      </c>
      <c r="L103" s="4">
        <v>5</v>
      </c>
      <c r="M103" s="4">
        <v>4</v>
      </c>
      <c r="N103" s="4">
        <v>4</v>
      </c>
    </row>
    <row r="104" spans="1:14" x14ac:dyDescent="0.25">
      <c r="A104" s="4">
        <v>270</v>
      </c>
      <c r="B104" s="4">
        <v>4</v>
      </c>
      <c r="C104" s="4">
        <v>3</v>
      </c>
      <c r="D104" s="4">
        <v>4</v>
      </c>
      <c r="E104" s="4">
        <v>6</v>
      </c>
      <c r="F104" s="4">
        <v>4</v>
      </c>
      <c r="G104" s="4">
        <v>3</v>
      </c>
      <c r="H104" s="4">
        <v>6</v>
      </c>
      <c r="I104" s="4">
        <v>3</v>
      </c>
      <c r="J104" s="4">
        <v>4</v>
      </c>
      <c r="K104" s="4">
        <v>4</v>
      </c>
      <c r="L104" s="4">
        <v>4</v>
      </c>
      <c r="M104" s="4">
        <v>3</v>
      </c>
      <c r="N104" s="4">
        <v>2</v>
      </c>
    </row>
    <row r="105" spans="1:14" x14ac:dyDescent="0.25">
      <c r="A105" s="4">
        <v>272</v>
      </c>
      <c r="B105" s="4">
        <v>5</v>
      </c>
      <c r="C105" s="4">
        <v>5</v>
      </c>
      <c r="D105" s="4">
        <v>5</v>
      </c>
      <c r="E105" s="4">
        <v>7</v>
      </c>
      <c r="F105" s="4">
        <v>4</v>
      </c>
      <c r="G105" s="4">
        <v>5</v>
      </c>
      <c r="H105" s="4">
        <v>7</v>
      </c>
      <c r="I105" s="4">
        <v>4</v>
      </c>
      <c r="J105" s="4">
        <v>6</v>
      </c>
      <c r="K105" s="4">
        <v>7</v>
      </c>
      <c r="L105" s="4">
        <v>6</v>
      </c>
      <c r="M105" s="4">
        <v>6</v>
      </c>
      <c r="N105" s="4">
        <v>6</v>
      </c>
    </row>
    <row r="106" spans="1:14" x14ac:dyDescent="0.25">
      <c r="A106" s="4">
        <v>273</v>
      </c>
      <c r="B106" s="4">
        <v>4</v>
      </c>
      <c r="C106" s="4">
        <v>4</v>
      </c>
      <c r="D106" s="4">
        <v>5</v>
      </c>
      <c r="E106" s="4">
        <v>7</v>
      </c>
      <c r="F106" s="4">
        <v>5</v>
      </c>
      <c r="G106" s="4">
        <v>4</v>
      </c>
      <c r="H106" s="4">
        <v>7</v>
      </c>
      <c r="I106" s="4">
        <v>4</v>
      </c>
      <c r="J106" s="4">
        <v>6</v>
      </c>
      <c r="K106" s="4">
        <v>7</v>
      </c>
      <c r="L106" s="4">
        <v>5</v>
      </c>
      <c r="M106" s="4">
        <v>4</v>
      </c>
      <c r="N106" s="4">
        <v>3</v>
      </c>
    </row>
    <row r="107" spans="1:14" x14ac:dyDescent="0.25">
      <c r="A107" s="4">
        <v>278</v>
      </c>
      <c r="B107" s="4">
        <v>5</v>
      </c>
      <c r="C107" s="4">
        <v>4</v>
      </c>
      <c r="D107" s="4">
        <v>3</v>
      </c>
      <c r="E107" s="4">
        <v>5</v>
      </c>
      <c r="F107" s="4">
        <v>3</v>
      </c>
      <c r="G107" s="4">
        <v>4</v>
      </c>
      <c r="H107" s="4">
        <v>5</v>
      </c>
      <c r="I107" s="4">
        <v>4</v>
      </c>
      <c r="J107" s="4">
        <v>3</v>
      </c>
      <c r="K107" s="4">
        <v>7</v>
      </c>
      <c r="L107" s="4">
        <v>5</v>
      </c>
      <c r="M107" s="4">
        <v>4</v>
      </c>
      <c r="N107" s="4">
        <v>2</v>
      </c>
    </row>
    <row r="108" spans="1:14" x14ac:dyDescent="0.25">
      <c r="A108" s="4">
        <v>283</v>
      </c>
      <c r="B108" s="4">
        <v>5</v>
      </c>
      <c r="C108" s="4">
        <v>4</v>
      </c>
      <c r="D108" s="4">
        <v>4</v>
      </c>
      <c r="E108" s="4">
        <v>7</v>
      </c>
      <c r="F108" s="4">
        <v>4</v>
      </c>
      <c r="G108" s="4">
        <v>4</v>
      </c>
      <c r="H108" s="4">
        <v>7</v>
      </c>
      <c r="I108" s="4">
        <v>4</v>
      </c>
      <c r="J108" s="4">
        <v>3</v>
      </c>
      <c r="K108" s="4">
        <v>7</v>
      </c>
      <c r="L108" s="4">
        <v>4</v>
      </c>
      <c r="M108" s="4">
        <v>3</v>
      </c>
      <c r="N108" s="4">
        <v>2</v>
      </c>
    </row>
    <row r="109" spans="1:14" x14ac:dyDescent="0.25">
      <c r="A109" s="4">
        <v>289</v>
      </c>
      <c r="B109" s="4">
        <v>5</v>
      </c>
      <c r="C109" s="4">
        <v>6</v>
      </c>
      <c r="D109" s="4">
        <v>5</v>
      </c>
      <c r="E109" s="4">
        <v>7</v>
      </c>
      <c r="F109" s="4">
        <v>5</v>
      </c>
      <c r="G109" s="4">
        <v>6</v>
      </c>
      <c r="H109" s="4">
        <v>6</v>
      </c>
      <c r="I109" s="4">
        <v>6</v>
      </c>
      <c r="J109" s="4">
        <v>5</v>
      </c>
      <c r="K109" s="4">
        <v>7</v>
      </c>
      <c r="L109" s="4">
        <v>6</v>
      </c>
      <c r="M109" s="4">
        <v>6</v>
      </c>
      <c r="N109" s="4">
        <v>5</v>
      </c>
    </row>
    <row r="110" spans="1:14" x14ac:dyDescent="0.25">
      <c r="A110" s="4">
        <v>290</v>
      </c>
      <c r="B110" s="4">
        <v>5</v>
      </c>
      <c r="C110" s="4">
        <v>4</v>
      </c>
      <c r="D110" s="4">
        <v>3</v>
      </c>
      <c r="E110" s="4">
        <v>6</v>
      </c>
      <c r="F110" s="4">
        <v>3</v>
      </c>
      <c r="G110" s="4">
        <v>3</v>
      </c>
      <c r="H110" s="4">
        <v>6</v>
      </c>
      <c r="I110" s="4">
        <v>4</v>
      </c>
      <c r="J110" s="4">
        <v>5</v>
      </c>
      <c r="K110" s="4">
        <v>7</v>
      </c>
      <c r="L110" s="4">
        <v>6</v>
      </c>
      <c r="M110" s="4">
        <v>4</v>
      </c>
      <c r="N110" s="4">
        <v>3</v>
      </c>
    </row>
    <row r="111" spans="1:14" x14ac:dyDescent="0.25">
      <c r="A111" s="4">
        <v>291</v>
      </c>
      <c r="B111" s="4">
        <v>5</v>
      </c>
      <c r="C111" s="4">
        <v>6</v>
      </c>
      <c r="D111" s="4">
        <v>3</v>
      </c>
      <c r="E111" s="4">
        <v>7</v>
      </c>
      <c r="F111" s="4">
        <v>3</v>
      </c>
      <c r="G111" s="4">
        <v>6</v>
      </c>
      <c r="H111" s="4">
        <v>7</v>
      </c>
      <c r="I111" s="4">
        <v>7</v>
      </c>
      <c r="J111" s="4">
        <v>6</v>
      </c>
      <c r="K111" s="4">
        <v>7</v>
      </c>
      <c r="L111" s="4">
        <v>6</v>
      </c>
      <c r="M111" s="4">
        <v>6</v>
      </c>
      <c r="N111" s="4">
        <v>5</v>
      </c>
    </row>
    <row r="112" spans="1:14" x14ac:dyDescent="0.25">
      <c r="A112" s="4">
        <v>296</v>
      </c>
      <c r="B112" s="4">
        <v>5</v>
      </c>
      <c r="C112" s="4">
        <v>3</v>
      </c>
      <c r="D112" s="4">
        <v>5</v>
      </c>
      <c r="E112" s="4">
        <v>7</v>
      </c>
      <c r="F112" s="4">
        <v>5</v>
      </c>
      <c r="G112" s="4">
        <v>3</v>
      </c>
      <c r="H112" s="4">
        <v>7</v>
      </c>
      <c r="I112" s="4">
        <v>4</v>
      </c>
      <c r="J112" s="4">
        <v>7</v>
      </c>
      <c r="K112" s="4">
        <v>7</v>
      </c>
      <c r="L112" s="4">
        <v>7</v>
      </c>
      <c r="M112" s="4">
        <v>6</v>
      </c>
      <c r="N112" s="4">
        <v>7</v>
      </c>
    </row>
    <row r="113" spans="1:14" x14ac:dyDescent="0.25">
      <c r="A113" s="4">
        <v>297</v>
      </c>
      <c r="B113" s="4">
        <v>5</v>
      </c>
      <c r="C113" s="4">
        <v>3</v>
      </c>
      <c r="D113" s="4">
        <v>4</v>
      </c>
      <c r="E113" s="4">
        <v>7</v>
      </c>
      <c r="F113" s="4">
        <v>4</v>
      </c>
      <c r="G113" s="4">
        <v>3</v>
      </c>
      <c r="H113" s="4">
        <v>7</v>
      </c>
      <c r="I113" s="4">
        <v>4</v>
      </c>
      <c r="J113" s="4">
        <v>6</v>
      </c>
      <c r="K113" s="4">
        <v>7</v>
      </c>
      <c r="L113" s="4">
        <v>6</v>
      </c>
      <c r="M113" s="4">
        <v>6</v>
      </c>
      <c r="N113" s="4">
        <v>4</v>
      </c>
    </row>
    <row r="114" spans="1:14" x14ac:dyDescent="0.25">
      <c r="A114" s="4">
        <v>300</v>
      </c>
      <c r="B114" s="4">
        <v>5</v>
      </c>
      <c r="C114" s="4">
        <v>3</v>
      </c>
      <c r="D114" s="4">
        <v>4</v>
      </c>
      <c r="E114" s="4">
        <v>7</v>
      </c>
      <c r="F114" s="4">
        <v>4</v>
      </c>
      <c r="G114" s="4">
        <v>5</v>
      </c>
      <c r="H114" s="4">
        <v>5</v>
      </c>
      <c r="I114" s="4">
        <v>4</v>
      </c>
      <c r="J114" s="4">
        <v>5</v>
      </c>
      <c r="K114" s="4">
        <v>7</v>
      </c>
      <c r="L114" s="4">
        <v>7</v>
      </c>
      <c r="M114" s="4">
        <v>6</v>
      </c>
      <c r="N114" s="4">
        <v>6</v>
      </c>
    </row>
    <row r="115" spans="1:14" x14ac:dyDescent="0.25">
      <c r="A115" s="4">
        <v>302</v>
      </c>
      <c r="B115" s="4">
        <v>5</v>
      </c>
      <c r="C115" s="4">
        <v>4</v>
      </c>
      <c r="D115" s="4">
        <v>6</v>
      </c>
      <c r="E115" s="4">
        <v>7</v>
      </c>
      <c r="F115" s="4">
        <v>6</v>
      </c>
      <c r="G115" s="4">
        <v>5</v>
      </c>
      <c r="H115" s="4">
        <v>7</v>
      </c>
      <c r="I115" s="4">
        <v>7</v>
      </c>
      <c r="J115" s="4">
        <v>5</v>
      </c>
      <c r="K115" s="4">
        <v>7</v>
      </c>
      <c r="L115" s="4">
        <v>5</v>
      </c>
      <c r="M115" s="4">
        <v>6</v>
      </c>
      <c r="N115" s="4">
        <v>4</v>
      </c>
    </row>
    <row r="116" spans="1:14" x14ac:dyDescent="0.25">
      <c r="A116" s="4">
        <v>304</v>
      </c>
      <c r="B116" s="4">
        <v>5</v>
      </c>
      <c r="C116" s="4">
        <v>2</v>
      </c>
      <c r="D116" s="4">
        <v>3</v>
      </c>
      <c r="E116" s="4">
        <v>7</v>
      </c>
      <c r="F116" s="4">
        <v>3</v>
      </c>
      <c r="G116" s="4">
        <v>2</v>
      </c>
      <c r="H116" s="4">
        <v>6</v>
      </c>
      <c r="I116" s="4">
        <v>4</v>
      </c>
      <c r="J116" s="4">
        <v>5</v>
      </c>
      <c r="K116" s="4">
        <v>7</v>
      </c>
      <c r="L116" s="4">
        <v>4</v>
      </c>
      <c r="M116" s="4">
        <v>4</v>
      </c>
      <c r="N116" s="4">
        <v>4</v>
      </c>
    </row>
    <row r="117" spans="1:14" x14ac:dyDescent="0.25">
      <c r="A117" s="4">
        <v>305</v>
      </c>
      <c r="B117" s="4">
        <v>5</v>
      </c>
      <c r="C117" s="4">
        <v>6</v>
      </c>
      <c r="D117" s="4">
        <v>4</v>
      </c>
      <c r="E117" s="4">
        <v>7</v>
      </c>
      <c r="F117" s="4">
        <v>4</v>
      </c>
      <c r="G117" s="4">
        <v>6</v>
      </c>
      <c r="H117" s="4">
        <v>6</v>
      </c>
      <c r="I117" s="4">
        <v>6</v>
      </c>
      <c r="J117" s="4">
        <v>5</v>
      </c>
      <c r="K117" s="4">
        <v>7</v>
      </c>
      <c r="L117" s="4">
        <v>7</v>
      </c>
      <c r="M117" s="4">
        <v>6</v>
      </c>
      <c r="N117" s="4">
        <v>7</v>
      </c>
    </row>
    <row r="118" spans="1:14" x14ac:dyDescent="0.25">
      <c r="A118" s="4">
        <v>306</v>
      </c>
      <c r="B118" s="4">
        <v>5</v>
      </c>
      <c r="C118" s="4">
        <v>4</v>
      </c>
      <c r="D118" s="4">
        <v>3</v>
      </c>
      <c r="E118" s="4">
        <v>6</v>
      </c>
      <c r="F118" s="4">
        <v>3</v>
      </c>
      <c r="G118" s="4">
        <v>5</v>
      </c>
      <c r="H118" s="4">
        <v>5</v>
      </c>
      <c r="I118" s="4">
        <v>7</v>
      </c>
      <c r="J118" s="4">
        <v>5</v>
      </c>
      <c r="K118" s="4">
        <v>7</v>
      </c>
      <c r="L118" s="4">
        <v>5</v>
      </c>
      <c r="M118" s="4">
        <v>6</v>
      </c>
      <c r="N118" s="4">
        <v>4</v>
      </c>
    </row>
    <row r="119" spans="1:14" x14ac:dyDescent="0.25">
      <c r="A119" s="4">
        <v>307</v>
      </c>
      <c r="B119" s="4">
        <v>5</v>
      </c>
      <c r="C119" s="4">
        <v>4</v>
      </c>
      <c r="D119" s="4">
        <v>4</v>
      </c>
      <c r="E119" s="4">
        <v>7</v>
      </c>
      <c r="F119" s="4">
        <v>4</v>
      </c>
      <c r="G119" s="4">
        <v>4</v>
      </c>
      <c r="H119" s="4">
        <v>6</v>
      </c>
      <c r="I119" s="4">
        <v>4</v>
      </c>
      <c r="J119" s="4">
        <v>3</v>
      </c>
      <c r="K119" s="4">
        <v>4</v>
      </c>
      <c r="L119" s="4">
        <v>4</v>
      </c>
      <c r="M119" s="4">
        <v>3</v>
      </c>
      <c r="N119" s="4">
        <v>3</v>
      </c>
    </row>
    <row r="120" spans="1:14" x14ac:dyDescent="0.25">
      <c r="A120" s="4">
        <v>311</v>
      </c>
      <c r="B120" s="4">
        <v>4</v>
      </c>
      <c r="C120" s="4">
        <v>3</v>
      </c>
      <c r="D120" s="4">
        <v>4</v>
      </c>
      <c r="E120" s="4">
        <v>6</v>
      </c>
      <c r="F120" s="4">
        <v>4</v>
      </c>
      <c r="G120" s="4">
        <v>3</v>
      </c>
      <c r="H120" s="4">
        <v>5</v>
      </c>
      <c r="I120" s="4">
        <v>4</v>
      </c>
      <c r="J120" s="4">
        <v>3</v>
      </c>
      <c r="K120" s="4">
        <v>4</v>
      </c>
      <c r="L120" s="4">
        <v>3</v>
      </c>
      <c r="M120" s="4">
        <v>3</v>
      </c>
      <c r="N120" s="4">
        <v>2</v>
      </c>
    </row>
    <row r="121" spans="1:14" x14ac:dyDescent="0.25">
      <c r="A121" s="4">
        <v>312</v>
      </c>
      <c r="B121" s="4">
        <v>5</v>
      </c>
      <c r="C121" s="4">
        <v>4</v>
      </c>
      <c r="D121" s="4">
        <v>5</v>
      </c>
      <c r="E121" s="4">
        <v>7</v>
      </c>
      <c r="F121" s="4">
        <v>4</v>
      </c>
      <c r="G121" s="4">
        <v>5</v>
      </c>
      <c r="H121" s="4">
        <v>5</v>
      </c>
      <c r="I121" s="4">
        <v>4</v>
      </c>
      <c r="J121" s="4">
        <v>3</v>
      </c>
      <c r="K121" s="4">
        <v>7</v>
      </c>
      <c r="L121" s="4">
        <v>7</v>
      </c>
      <c r="M121" s="4">
        <v>7</v>
      </c>
      <c r="N121" s="4">
        <v>7</v>
      </c>
    </row>
    <row r="122" spans="1:14" x14ac:dyDescent="0.25">
      <c r="A122" s="4">
        <v>318</v>
      </c>
      <c r="B122" s="4">
        <v>5</v>
      </c>
      <c r="C122" s="4">
        <v>4</v>
      </c>
      <c r="D122" s="4">
        <v>4</v>
      </c>
      <c r="E122" s="4">
        <v>7</v>
      </c>
      <c r="F122" s="4">
        <v>4</v>
      </c>
      <c r="G122" s="4">
        <v>3</v>
      </c>
      <c r="H122" s="4">
        <v>7</v>
      </c>
      <c r="I122" s="4">
        <v>4</v>
      </c>
      <c r="J122" s="4">
        <v>3</v>
      </c>
      <c r="K122" s="4">
        <v>7</v>
      </c>
      <c r="L122" s="4">
        <v>4</v>
      </c>
      <c r="M122" s="4">
        <v>3</v>
      </c>
      <c r="N122" s="4">
        <v>2</v>
      </c>
    </row>
    <row r="123" spans="1:14" x14ac:dyDescent="0.25">
      <c r="A123" s="4">
        <v>323</v>
      </c>
      <c r="B123" s="4">
        <v>5</v>
      </c>
      <c r="C123" s="4">
        <v>4</v>
      </c>
      <c r="D123" s="4">
        <v>3</v>
      </c>
      <c r="E123" s="4">
        <v>6</v>
      </c>
      <c r="F123" s="4">
        <v>3</v>
      </c>
      <c r="G123" s="4">
        <v>4</v>
      </c>
      <c r="H123" s="4">
        <v>6</v>
      </c>
      <c r="I123" s="4">
        <v>4</v>
      </c>
      <c r="J123" s="4">
        <v>5</v>
      </c>
      <c r="K123" s="4">
        <v>7</v>
      </c>
      <c r="L123" s="4">
        <v>5</v>
      </c>
      <c r="M123" s="4">
        <v>4</v>
      </c>
      <c r="N123" s="4">
        <v>3</v>
      </c>
    </row>
    <row r="124" spans="1:14" x14ac:dyDescent="0.25">
      <c r="A124" s="4">
        <v>324</v>
      </c>
      <c r="B124" s="4">
        <v>5</v>
      </c>
      <c r="C124" s="4">
        <v>6</v>
      </c>
      <c r="D124" s="4">
        <v>6</v>
      </c>
      <c r="E124" s="4">
        <v>6</v>
      </c>
      <c r="F124" s="4">
        <v>6</v>
      </c>
      <c r="G124" s="4">
        <v>5</v>
      </c>
      <c r="H124" s="4">
        <v>7</v>
      </c>
      <c r="I124" s="4">
        <v>4</v>
      </c>
      <c r="J124" s="4">
        <v>6</v>
      </c>
      <c r="K124" s="4">
        <v>7</v>
      </c>
      <c r="L124" s="4">
        <v>6</v>
      </c>
      <c r="M124" s="4">
        <v>6</v>
      </c>
      <c r="N124" s="4">
        <v>5</v>
      </c>
    </row>
    <row r="125" spans="1:14" x14ac:dyDescent="0.25">
      <c r="A125" s="4">
        <v>327</v>
      </c>
      <c r="B125" s="4">
        <v>5</v>
      </c>
      <c r="C125" s="4">
        <v>5</v>
      </c>
      <c r="D125" s="4">
        <v>4</v>
      </c>
      <c r="E125" s="4">
        <v>7</v>
      </c>
      <c r="F125" s="4">
        <v>4</v>
      </c>
      <c r="G125" s="4">
        <v>5</v>
      </c>
      <c r="H125" s="4">
        <v>7</v>
      </c>
      <c r="I125" s="4">
        <v>4</v>
      </c>
      <c r="J125" s="4">
        <v>6</v>
      </c>
      <c r="K125" s="4">
        <v>7</v>
      </c>
      <c r="L125" s="4">
        <v>6</v>
      </c>
      <c r="M125" s="4">
        <v>6</v>
      </c>
      <c r="N125" s="4">
        <v>4</v>
      </c>
    </row>
    <row r="126" spans="1:14" x14ac:dyDescent="0.25">
      <c r="A126" s="4">
        <v>328</v>
      </c>
      <c r="B126" s="4">
        <v>5</v>
      </c>
      <c r="C126" s="4">
        <v>4</v>
      </c>
      <c r="D126" s="4">
        <v>4</v>
      </c>
      <c r="E126" s="4">
        <v>7</v>
      </c>
      <c r="F126" s="4">
        <v>4</v>
      </c>
      <c r="G126" s="4">
        <v>4</v>
      </c>
      <c r="H126" s="4">
        <v>6</v>
      </c>
      <c r="I126" s="4">
        <v>4</v>
      </c>
      <c r="J126" s="4">
        <v>3</v>
      </c>
      <c r="K126" s="4">
        <v>4</v>
      </c>
      <c r="L126" s="4">
        <v>4</v>
      </c>
      <c r="M126" s="4">
        <v>4</v>
      </c>
      <c r="N126" s="4">
        <v>3</v>
      </c>
    </row>
    <row r="127" spans="1:14" x14ac:dyDescent="0.25">
      <c r="A127" s="4">
        <v>333</v>
      </c>
      <c r="B127" s="4">
        <v>3</v>
      </c>
      <c r="C127" s="4">
        <v>5</v>
      </c>
      <c r="D127" s="4">
        <v>6</v>
      </c>
      <c r="E127" s="4">
        <v>6</v>
      </c>
      <c r="F127" s="4">
        <v>6</v>
      </c>
      <c r="G127" s="4">
        <v>5</v>
      </c>
      <c r="H127" s="4">
        <v>7</v>
      </c>
      <c r="I127" s="4">
        <v>4</v>
      </c>
      <c r="J127" s="4">
        <v>6</v>
      </c>
      <c r="K127" s="4">
        <v>4</v>
      </c>
      <c r="L127" s="4">
        <v>5</v>
      </c>
      <c r="M127" s="4">
        <v>4</v>
      </c>
      <c r="N127" s="4">
        <v>4</v>
      </c>
    </row>
    <row r="128" spans="1:14" x14ac:dyDescent="0.25">
      <c r="A128" s="4">
        <v>334</v>
      </c>
      <c r="B128" s="4">
        <v>4</v>
      </c>
      <c r="C128" s="4">
        <v>3</v>
      </c>
      <c r="D128" s="4">
        <v>4</v>
      </c>
      <c r="E128" s="4">
        <v>6</v>
      </c>
      <c r="F128" s="4">
        <v>4</v>
      </c>
      <c r="G128" s="4">
        <v>3</v>
      </c>
      <c r="H128" s="4">
        <v>6</v>
      </c>
      <c r="I128" s="4">
        <v>3</v>
      </c>
      <c r="J128" s="4">
        <v>4</v>
      </c>
      <c r="K128" s="4">
        <v>4</v>
      </c>
      <c r="L128" s="4">
        <v>4</v>
      </c>
      <c r="M128" s="4">
        <v>3</v>
      </c>
      <c r="N128" s="4">
        <v>2</v>
      </c>
    </row>
    <row r="129" spans="1:14" x14ac:dyDescent="0.25">
      <c r="A129" s="4">
        <v>336</v>
      </c>
      <c r="B129" s="4">
        <v>5</v>
      </c>
      <c r="C129" s="4">
        <v>5</v>
      </c>
      <c r="D129" s="4">
        <v>5</v>
      </c>
      <c r="E129" s="4">
        <v>7</v>
      </c>
      <c r="F129" s="4">
        <v>4</v>
      </c>
      <c r="G129" s="4">
        <v>5</v>
      </c>
      <c r="H129" s="4">
        <v>7</v>
      </c>
      <c r="I129" s="4">
        <v>4</v>
      </c>
      <c r="J129" s="4">
        <v>6</v>
      </c>
      <c r="K129" s="4">
        <v>7</v>
      </c>
      <c r="L129" s="4">
        <v>7</v>
      </c>
      <c r="M129" s="4">
        <v>6</v>
      </c>
      <c r="N129" s="4">
        <v>5</v>
      </c>
    </row>
    <row r="130" spans="1:14" x14ac:dyDescent="0.25">
      <c r="A130" s="4">
        <v>337</v>
      </c>
      <c r="B130" s="4">
        <v>4</v>
      </c>
      <c r="C130" s="4">
        <v>4</v>
      </c>
      <c r="D130" s="4">
        <v>5</v>
      </c>
      <c r="E130" s="4">
        <v>7</v>
      </c>
      <c r="F130" s="4">
        <v>5</v>
      </c>
      <c r="G130" s="4">
        <v>4</v>
      </c>
      <c r="H130" s="4">
        <v>7</v>
      </c>
      <c r="I130" s="4">
        <v>4</v>
      </c>
      <c r="J130" s="4">
        <v>6</v>
      </c>
      <c r="K130" s="4">
        <v>7</v>
      </c>
      <c r="L130" s="4">
        <v>6</v>
      </c>
      <c r="M130" s="4">
        <v>5</v>
      </c>
      <c r="N130" s="4">
        <v>5</v>
      </c>
    </row>
    <row r="131" spans="1:14" x14ac:dyDescent="0.25">
      <c r="A131" s="4">
        <v>342</v>
      </c>
      <c r="B131" s="4">
        <v>5</v>
      </c>
      <c r="C131" s="4">
        <v>4</v>
      </c>
      <c r="D131" s="4">
        <v>3</v>
      </c>
      <c r="E131" s="4">
        <v>5</v>
      </c>
      <c r="F131" s="4">
        <v>3</v>
      </c>
      <c r="G131" s="4">
        <v>4</v>
      </c>
      <c r="H131" s="4">
        <v>5</v>
      </c>
      <c r="I131" s="4">
        <v>4</v>
      </c>
      <c r="J131" s="4">
        <v>3</v>
      </c>
      <c r="K131" s="4">
        <v>7</v>
      </c>
      <c r="L131" s="4">
        <v>5</v>
      </c>
      <c r="M131" s="4">
        <v>4</v>
      </c>
      <c r="N131" s="4">
        <v>2</v>
      </c>
    </row>
    <row r="132" spans="1:14" x14ac:dyDescent="0.25">
      <c r="A132" s="4">
        <v>347</v>
      </c>
      <c r="B132" s="4">
        <v>5</v>
      </c>
      <c r="C132" s="4">
        <v>4</v>
      </c>
      <c r="D132" s="4">
        <v>4</v>
      </c>
      <c r="E132" s="4">
        <v>7</v>
      </c>
      <c r="F132" s="4">
        <v>4</v>
      </c>
      <c r="G132" s="4">
        <v>4</v>
      </c>
      <c r="H132" s="4">
        <v>7</v>
      </c>
      <c r="I132" s="4">
        <v>4</v>
      </c>
      <c r="J132" s="4">
        <v>3</v>
      </c>
      <c r="K132" s="4">
        <v>7</v>
      </c>
      <c r="L132" s="4">
        <v>5</v>
      </c>
      <c r="M132" s="4">
        <v>4</v>
      </c>
      <c r="N132" s="4">
        <v>3</v>
      </c>
    </row>
    <row r="133" spans="1:14" x14ac:dyDescent="0.25">
      <c r="A133" s="4">
        <v>353</v>
      </c>
      <c r="B133" s="4">
        <v>5</v>
      </c>
      <c r="C133" s="4">
        <v>6</v>
      </c>
      <c r="D133" s="4">
        <v>5</v>
      </c>
      <c r="E133" s="4">
        <v>7</v>
      </c>
      <c r="F133" s="4">
        <v>5</v>
      </c>
      <c r="G133" s="4">
        <v>6</v>
      </c>
      <c r="H133" s="4">
        <v>6</v>
      </c>
      <c r="I133" s="4">
        <v>6</v>
      </c>
      <c r="J133" s="4">
        <v>5</v>
      </c>
      <c r="K133" s="4">
        <v>7</v>
      </c>
      <c r="L133" s="4">
        <v>5</v>
      </c>
      <c r="M133" s="4">
        <v>5</v>
      </c>
      <c r="N133" s="4">
        <v>4</v>
      </c>
    </row>
    <row r="134" spans="1:14" x14ac:dyDescent="0.25">
      <c r="A134" s="4">
        <v>354</v>
      </c>
      <c r="B134" s="4">
        <v>5</v>
      </c>
      <c r="C134" s="4">
        <v>4</v>
      </c>
      <c r="D134" s="4">
        <v>3</v>
      </c>
      <c r="E134" s="4">
        <v>6</v>
      </c>
      <c r="F134" s="4">
        <v>3</v>
      </c>
      <c r="G134" s="4">
        <v>3</v>
      </c>
      <c r="H134" s="4">
        <v>6</v>
      </c>
      <c r="I134" s="4">
        <v>4</v>
      </c>
      <c r="J134" s="4">
        <v>5</v>
      </c>
      <c r="K134" s="4">
        <v>7</v>
      </c>
      <c r="L134" s="4">
        <v>6</v>
      </c>
      <c r="M134" s="4">
        <v>5</v>
      </c>
      <c r="N134" s="4">
        <v>5</v>
      </c>
    </row>
    <row r="135" spans="1:14" x14ac:dyDescent="0.25">
      <c r="A135" s="4">
        <v>355</v>
      </c>
      <c r="B135" s="4">
        <v>5</v>
      </c>
      <c r="C135" s="4">
        <v>6</v>
      </c>
      <c r="D135" s="4">
        <v>3</v>
      </c>
      <c r="E135" s="4">
        <v>7</v>
      </c>
      <c r="F135" s="4">
        <v>3</v>
      </c>
      <c r="G135" s="4">
        <v>6</v>
      </c>
      <c r="H135" s="4">
        <v>7</v>
      </c>
      <c r="I135" s="4">
        <v>7</v>
      </c>
      <c r="J135" s="4">
        <v>6</v>
      </c>
      <c r="K135" s="4">
        <v>7</v>
      </c>
      <c r="L135" s="4">
        <v>7</v>
      </c>
      <c r="M135" s="4">
        <v>6</v>
      </c>
      <c r="N135" s="4">
        <v>7</v>
      </c>
    </row>
    <row r="136" spans="1:14" x14ac:dyDescent="0.25">
      <c r="A136" s="4">
        <v>360</v>
      </c>
      <c r="B136" s="4">
        <v>5</v>
      </c>
      <c r="C136" s="4">
        <v>3</v>
      </c>
      <c r="D136" s="4">
        <v>5</v>
      </c>
      <c r="E136" s="4">
        <v>7</v>
      </c>
      <c r="F136" s="4">
        <v>5</v>
      </c>
      <c r="G136" s="4">
        <v>3</v>
      </c>
      <c r="H136" s="4">
        <v>7</v>
      </c>
      <c r="I136" s="4">
        <v>4</v>
      </c>
      <c r="J136" s="4">
        <v>7</v>
      </c>
      <c r="K136" s="4">
        <v>7</v>
      </c>
      <c r="L136" s="4">
        <v>5</v>
      </c>
      <c r="M136" s="4">
        <v>6</v>
      </c>
      <c r="N136" s="4">
        <v>4</v>
      </c>
    </row>
    <row r="137" spans="1:14" x14ac:dyDescent="0.25">
      <c r="A137" s="4">
        <v>363</v>
      </c>
      <c r="B137" s="4">
        <v>5</v>
      </c>
      <c r="C137" s="4">
        <v>3</v>
      </c>
      <c r="D137" s="4">
        <v>4</v>
      </c>
      <c r="E137" s="4">
        <v>7</v>
      </c>
      <c r="F137" s="4">
        <v>4</v>
      </c>
      <c r="G137" s="4">
        <v>5</v>
      </c>
      <c r="H137" s="4">
        <v>5</v>
      </c>
      <c r="I137" s="4">
        <v>4</v>
      </c>
      <c r="J137" s="4">
        <v>5</v>
      </c>
      <c r="K137" s="4">
        <v>7</v>
      </c>
      <c r="L137" s="4">
        <v>6</v>
      </c>
      <c r="M137" s="4">
        <v>5</v>
      </c>
      <c r="N137" s="4">
        <v>5</v>
      </c>
    </row>
    <row r="138" spans="1:14" x14ac:dyDescent="0.25">
      <c r="A138" s="4">
        <v>365</v>
      </c>
      <c r="B138" s="4">
        <v>5</v>
      </c>
      <c r="C138" s="4">
        <v>4</v>
      </c>
      <c r="D138" s="4">
        <v>6</v>
      </c>
      <c r="E138" s="4">
        <v>7</v>
      </c>
      <c r="F138" s="4">
        <v>6</v>
      </c>
      <c r="G138" s="4">
        <v>5</v>
      </c>
      <c r="H138" s="4">
        <v>7</v>
      </c>
      <c r="I138" s="4">
        <v>7</v>
      </c>
      <c r="J138" s="4">
        <v>5</v>
      </c>
      <c r="K138" s="4">
        <v>7</v>
      </c>
      <c r="L138" s="4">
        <v>5</v>
      </c>
      <c r="M138" s="4">
        <v>6</v>
      </c>
      <c r="N138" s="4">
        <v>4</v>
      </c>
    </row>
    <row r="139" spans="1:14" x14ac:dyDescent="0.25">
      <c r="A139" s="4">
        <v>367</v>
      </c>
      <c r="B139" s="4">
        <v>5</v>
      </c>
      <c r="C139" s="4">
        <v>2</v>
      </c>
      <c r="D139" s="4">
        <v>3</v>
      </c>
      <c r="E139" s="4">
        <v>7</v>
      </c>
      <c r="F139" s="4">
        <v>3</v>
      </c>
      <c r="G139" s="4">
        <v>2</v>
      </c>
      <c r="H139" s="4">
        <v>6</v>
      </c>
      <c r="I139" s="4">
        <v>4</v>
      </c>
      <c r="J139" s="4">
        <v>5</v>
      </c>
      <c r="K139" s="4">
        <v>7</v>
      </c>
      <c r="L139" s="4">
        <v>4</v>
      </c>
      <c r="M139" s="4">
        <v>4</v>
      </c>
      <c r="N139" s="4">
        <v>4</v>
      </c>
    </row>
    <row r="140" spans="1:14" x14ac:dyDescent="0.25">
      <c r="A140" s="4">
        <v>368</v>
      </c>
      <c r="B140" s="4">
        <v>5</v>
      </c>
      <c r="C140" s="4">
        <v>6</v>
      </c>
      <c r="D140" s="4">
        <v>4</v>
      </c>
      <c r="E140" s="4">
        <v>7</v>
      </c>
      <c r="F140" s="4">
        <v>4</v>
      </c>
      <c r="G140" s="4">
        <v>6</v>
      </c>
      <c r="H140" s="4">
        <v>6</v>
      </c>
      <c r="I140" s="4">
        <v>6</v>
      </c>
      <c r="J140" s="4">
        <v>4</v>
      </c>
      <c r="K140" s="4">
        <v>7</v>
      </c>
      <c r="L140" s="4">
        <v>7</v>
      </c>
      <c r="M140" s="4">
        <v>7</v>
      </c>
      <c r="N140" s="4">
        <v>6</v>
      </c>
    </row>
    <row r="141" spans="1:14" x14ac:dyDescent="0.25">
      <c r="A141" s="4">
        <v>369</v>
      </c>
      <c r="B141" s="4">
        <v>5</v>
      </c>
      <c r="C141" s="4">
        <v>4</v>
      </c>
      <c r="D141" s="4">
        <v>3</v>
      </c>
      <c r="E141" s="4">
        <v>6</v>
      </c>
      <c r="F141" s="4">
        <v>3</v>
      </c>
      <c r="G141" s="4">
        <v>5</v>
      </c>
      <c r="H141" s="4">
        <v>5</v>
      </c>
      <c r="I141" s="4">
        <v>7</v>
      </c>
      <c r="J141" s="4">
        <v>4</v>
      </c>
      <c r="K141" s="4">
        <v>7</v>
      </c>
      <c r="L141" s="4">
        <v>5</v>
      </c>
      <c r="M141" s="4">
        <v>6</v>
      </c>
      <c r="N141" s="4">
        <v>4</v>
      </c>
    </row>
    <row r="142" spans="1:14" x14ac:dyDescent="0.25">
      <c r="A142" s="4">
        <v>370</v>
      </c>
      <c r="B142" s="4">
        <v>5</v>
      </c>
      <c r="C142" s="4">
        <v>4</v>
      </c>
      <c r="D142" s="4">
        <v>4</v>
      </c>
      <c r="E142" s="4">
        <v>7</v>
      </c>
      <c r="F142" s="4">
        <v>4</v>
      </c>
      <c r="G142" s="4">
        <v>4</v>
      </c>
      <c r="H142" s="4">
        <v>6</v>
      </c>
      <c r="I142" s="4">
        <v>4</v>
      </c>
      <c r="J142" s="4">
        <v>3</v>
      </c>
      <c r="K142" s="4">
        <v>4</v>
      </c>
      <c r="L142" s="4">
        <v>4</v>
      </c>
      <c r="M142" s="4">
        <v>3</v>
      </c>
      <c r="N142" s="4">
        <v>3</v>
      </c>
    </row>
    <row r="143" spans="1:14" x14ac:dyDescent="0.25">
      <c r="A143" s="4">
        <v>374</v>
      </c>
      <c r="B143" s="4">
        <v>4</v>
      </c>
      <c r="C143" s="4">
        <v>3</v>
      </c>
      <c r="D143" s="4">
        <v>4</v>
      </c>
      <c r="E143" s="4">
        <v>6</v>
      </c>
      <c r="F143" s="4">
        <v>4</v>
      </c>
      <c r="G143" s="4">
        <v>3</v>
      </c>
      <c r="H143" s="4">
        <v>5</v>
      </c>
      <c r="I143" s="4">
        <v>4</v>
      </c>
      <c r="J143" s="4">
        <v>3</v>
      </c>
      <c r="K143" s="4">
        <v>4</v>
      </c>
      <c r="L143" s="4">
        <v>3</v>
      </c>
      <c r="M143" s="4">
        <v>3</v>
      </c>
      <c r="N143" s="4">
        <v>2</v>
      </c>
    </row>
    <row r="144" spans="1:14" x14ac:dyDescent="0.25">
      <c r="A144" s="4">
        <v>375</v>
      </c>
      <c r="B144" s="4">
        <v>5</v>
      </c>
      <c r="C144" s="4">
        <v>4</v>
      </c>
      <c r="D144" s="4">
        <v>5</v>
      </c>
      <c r="E144" s="4">
        <v>7</v>
      </c>
      <c r="F144" s="4">
        <v>4</v>
      </c>
      <c r="G144" s="4">
        <v>5</v>
      </c>
      <c r="H144" s="4">
        <v>5</v>
      </c>
      <c r="I144" s="4">
        <v>4</v>
      </c>
      <c r="J144" s="4">
        <v>3</v>
      </c>
      <c r="K144" s="4">
        <v>7</v>
      </c>
      <c r="L144" s="4">
        <v>5</v>
      </c>
      <c r="M144" s="4">
        <v>6</v>
      </c>
      <c r="N144" s="4">
        <v>5</v>
      </c>
    </row>
    <row r="145" spans="1:14" x14ac:dyDescent="0.25">
      <c r="A145" s="4">
        <v>381</v>
      </c>
      <c r="B145" s="4">
        <v>5</v>
      </c>
      <c r="C145" s="4">
        <v>4</v>
      </c>
      <c r="D145" s="4">
        <v>4</v>
      </c>
      <c r="E145" s="4">
        <v>7</v>
      </c>
      <c r="F145" s="4">
        <v>4</v>
      </c>
      <c r="G145" s="4">
        <v>3</v>
      </c>
      <c r="H145" s="4">
        <v>7</v>
      </c>
      <c r="I145" s="4">
        <v>4</v>
      </c>
      <c r="J145" s="4">
        <v>3</v>
      </c>
      <c r="K145" s="4">
        <v>7</v>
      </c>
      <c r="L145" s="4">
        <v>4</v>
      </c>
      <c r="M145" s="4">
        <v>3</v>
      </c>
      <c r="N145" s="4">
        <v>2</v>
      </c>
    </row>
    <row r="146" spans="1:14" x14ac:dyDescent="0.25">
      <c r="A146" s="4">
        <v>385</v>
      </c>
      <c r="B146" s="4">
        <v>5</v>
      </c>
      <c r="C146" s="4">
        <v>4</v>
      </c>
      <c r="D146" s="4">
        <v>3</v>
      </c>
      <c r="E146" s="4">
        <v>6</v>
      </c>
      <c r="F146" s="4">
        <v>3</v>
      </c>
      <c r="G146" s="4">
        <v>4</v>
      </c>
      <c r="H146" s="4">
        <v>6</v>
      </c>
      <c r="I146" s="4">
        <v>4</v>
      </c>
      <c r="J146" s="4">
        <v>5</v>
      </c>
      <c r="K146" s="4">
        <v>7</v>
      </c>
      <c r="L146" s="4">
        <v>5</v>
      </c>
      <c r="M146" s="4">
        <v>4</v>
      </c>
      <c r="N146" s="4">
        <v>3</v>
      </c>
    </row>
    <row r="147" spans="1:14" x14ac:dyDescent="0.25">
      <c r="A147" s="4">
        <v>386</v>
      </c>
      <c r="B147" s="4">
        <v>5</v>
      </c>
      <c r="C147" s="4">
        <v>6</v>
      </c>
      <c r="D147" s="4">
        <v>6</v>
      </c>
      <c r="E147" s="4">
        <v>6</v>
      </c>
      <c r="F147" s="4">
        <v>6</v>
      </c>
      <c r="G147" s="4">
        <v>5</v>
      </c>
      <c r="H147" s="4">
        <v>7</v>
      </c>
      <c r="I147" s="4">
        <v>4</v>
      </c>
      <c r="J147" s="4">
        <v>6</v>
      </c>
      <c r="K147" s="4">
        <v>7</v>
      </c>
      <c r="L147" s="4">
        <v>7</v>
      </c>
      <c r="M147" s="4">
        <v>6</v>
      </c>
      <c r="N147" s="4">
        <v>7</v>
      </c>
    </row>
    <row r="148" spans="1:14" x14ac:dyDescent="0.25">
      <c r="A148" s="4">
        <v>389</v>
      </c>
      <c r="B148" s="4">
        <v>5</v>
      </c>
      <c r="C148" s="4">
        <v>5</v>
      </c>
      <c r="D148" s="4">
        <v>4</v>
      </c>
      <c r="E148" s="4">
        <v>7</v>
      </c>
      <c r="F148" s="4">
        <v>4</v>
      </c>
      <c r="G148" s="4">
        <v>5</v>
      </c>
      <c r="H148" s="4">
        <v>7</v>
      </c>
      <c r="I148" s="4">
        <v>4</v>
      </c>
      <c r="J148" s="4">
        <v>6</v>
      </c>
      <c r="K148" s="4">
        <v>7</v>
      </c>
      <c r="L148" s="4">
        <v>6</v>
      </c>
      <c r="M148" s="4">
        <v>6</v>
      </c>
      <c r="N148" s="4">
        <v>4</v>
      </c>
    </row>
    <row r="149" spans="1:14" x14ac:dyDescent="0.25">
      <c r="A149" s="4">
        <v>390</v>
      </c>
      <c r="B149" s="4">
        <v>5</v>
      </c>
      <c r="C149" s="4">
        <v>5</v>
      </c>
      <c r="D149" s="4">
        <v>5</v>
      </c>
      <c r="E149" s="4">
        <v>7</v>
      </c>
      <c r="F149" s="4">
        <v>4</v>
      </c>
      <c r="G149" s="4">
        <v>5</v>
      </c>
      <c r="H149" s="4">
        <v>7</v>
      </c>
      <c r="I149" s="4">
        <v>4</v>
      </c>
      <c r="J149" s="4">
        <v>6</v>
      </c>
      <c r="K149" s="4">
        <v>7</v>
      </c>
      <c r="L149" s="4">
        <v>5</v>
      </c>
      <c r="M149" s="4">
        <v>6</v>
      </c>
      <c r="N149" s="4">
        <v>5</v>
      </c>
    </row>
    <row r="150" spans="1:14" x14ac:dyDescent="0.25">
      <c r="A150" s="4">
        <v>392</v>
      </c>
      <c r="B150" s="4">
        <v>5</v>
      </c>
      <c r="C150" s="4">
        <v>4</v>
      </c>
      <c r="D150" s="4">
        <v>4</v>
      </c>
      <c r="E150" s="4">
        <v>7</v>
      </c>
      <c r="F150" s="4">
        <v>4</v>
      </c>
      <c r="G150" s="4">
        <v>4</v>
      </c>
      <c r="H150" s="4">
        <v>7</v>
      </c>
      <c r="I150" s="4">
        <v>4</v>
      </c>
      <c r="J150" s="4">
        <v>3</v>
      </c>
      <c r="K150" s="4">
        <v>7</v>
      </c>
      <c r="L150" s="4">
        <v>4</v>
      </c>
      <c r="M150" s="4">
        <v>3</v>
      </c>
      <c r="N150" s="4">
        <v>2</v>
      </c>
    </row>
    <row r="151" spans="1:14" x14ac:dyDescent="0.25">
      <c r="A151" s="4">
        <v>393</v>
      </c>
      <c r="B151" s="4">
        <v>5</v>
      </c>
      <c r="C151" s="4">
        <v>5</v>
      </c>
      <c r="D151" s="4">
        <v>5</v>
      </c>
      <c r="E151" s="4">
        <v>7</v>
      </c>
      <c r="F151" s="4">
        <v>4</v>
      </c>
      <c r="G151" s="4">
        <v>5</v>
      </c>
      <c r="H151" s="4">
        <v>7</v>
      </c>
      <c r="I151" s="4">
        <v>4</v>
      </c>
      <c r="J151" s="4">
        <v>6</v>
      </c>
      <c r="K151" s="4">
        <v>7</v>
      </c>
      <c r="L151" s="4">
        <v>7</v>
      </c>
      <c r="M151" s="4">
        <v>7</v>
      </c>
      <c r="N151" s="4">
        <v>6</v>
      </c>
    </row>
    <row r="152" spans="1:14" x14ac:dyDescent="0.25">
      <c r="A152" s="4">
        <v>397</v>
      </c>
      <c r="B152" s="4">
        <v>5</v>
      </c>
      <c r="C152" s="4">
        <v>5</v>
      </c>
      <c r="D152" s="4">
        <v>4</v>
      </c>
      <c r="E152" s="4">
        <v>7</v>
      </c>
      <c r="F152" s="4">
        <v>4</v>
      </c>
      <c r="G152" s="4">
        <v>5</v>
      </c>
      <c r="H152" s="4">
        <v>7</v>
      </c>
      <c r="I152" s="4">
        <v>4</v>
      </c>
      <c r="J152" s="4">
        <v>6</v>
      </c>
      <c r="K152" s="4">
        <v>7</v>
      </c>
      <c r="L152" s="4">
        <v>6</v>
      </c>
      <c r="M152" s="4">
        <v>6</v>
      </c>
      <c r="N152" s="4">
        <v>5</v>
      </c>
    </row>
    <row r="153" spans="1:14" x14ac:dyDescent="0.25">
      <c r="A153" s="4">
        <v>400</v>
      </c>
      <c r="B153" s="4">
        <v>5</v>
      </c>
      <c r="C153" s="4">
        <v>4</v>
      </c>
      <c r="D153" s="4">
        <v>4</v>
      </c>
      <c r="E153" s="4">
        <v>7</v>
      </c>
      <c r="F153" s="4">
        <v>4</v>
      </c>
      <c r="G153" s="4">
        <v>4</v>
      </c>
      <c r="H153" s="4">
        <v>6</v>
      </c>
      <c r="I153" s="4">
        <v>4</v>
      </c>
      <c r="J153" s="4">
        <v>3</v>
      </c>
      <c r="K153" s="4">
        <v>4</v>
      </c>
      <c r="L153" s="4">
        <v>4</v>
      </c>
      <c r="M153" s="4">
        <v>4</v>
      </c>
      <c r="N153" s="4">
        <v>3</v>
      </c>
    </row>
    <row r="154" spans="1:14" x14ac:dyDescent="0.25">
      <c r="A154" s="4">
        <v>2</v>
      </c>
      <c r="B154" s="4">
        <v>2</v>
      </c>
      <c r="C154" s="4">
        <v>5</v>
      </c>
      <c r="D154" s="4">
        <v>3</v>
      </c>
      <c r="E154" s="4">
        <v>7</v>
      </c>
      <c r="F154" s="4">
        <v>3</v>
      </c>
      <c r="G154" s="4">
        <v>5</v>
      </c>
      <c r="H154" s="4">
        <v>6</v>
      </c>
      <c r="I154" s="4">
        <v>3</v>
      </c>
      <c r="J154" s="4">
        <v>6</v>
      </c>
      <c r="K154" s="4">
        <v>3</v>
      </c>
      <c r="L154" s="4">
        <v>4</v>
      </c>
      <c r="M154" s="4">
        <v>4</v>
      </c>
      <c r="N154" s="4">
        <v>4</v>
      </c>
    </row>
    <row r="155" spans="1:14" x14ac:dyDescent="0.25">
      <c r="A155" s="4">
        <v>3</v>
      </c>
      <c r="B155" s="4">
        <v>1</v>
      </c>
      <c r="C155" s="4">
        <v>4</v>
      </c>
      <c r="D155" s="4">
        <v>6</v>
      </c>
      <c r="E155" s="4">
        <v>5</v>
      </c>
      <c r="F155" s="4">
        <v>6</v>
      </c>
      <c r="G155" s="4">
        <v>4</v>
      </c>
      <c r="H155" s="4">
        <v>4</v>
      </c>
      <c r="I155" s="4">
        <v>1</v>
      </c>
      <c r="J155" s="4">
        <v>3</v>
      </c>
      <c r="K155" s="4">
        <v>3</v>
      </c>
      <c r="L155" s="4">
        <v>4</v>
      </c>
      <c r="M155" s="4">
        <v>4</v>
      </c>
      <c r="N155" s="4">
        <v>3</v>
      </c>
    </row>
    <row r="156" spans="1:14" x14ac:dyDescent="0.25">
      <c r="A156" s="4">
        <v>4</v>
      </c>
      <c r="B156" s="4">
        <v>4</v>
      </c>
      <c r="C156" s="4">
        <v>5</v>
      </c>
      <c r="D156" s="4">
        <v>6</v>
      </c>
      <c r="E156" s="4">
        <v>5</v>
      </c>
      <c r="F156" s="4">
        <v>6</v>
      </c>
      <c r="G156" s="4">
        <v>5</v>
      </c>
      <c r="H156" s="4">
        <v>5</v>
      </c>
      <c r="I156" s="4">
        <v>3</v>
      </c>
      <c r="J156" s="4">
        <v>5</v>
      </c>
      <c r="K156" s="4">
        <v>7</v>
      </c>
      <c r="L156" s="4">
        <v>5</v>
      </c>
      <c r="M156" s="4">
        <v>4</v>
      </c>
      <c r="N156" s="4">
        <v>4</v>
      </c>
    </row>
    <row r="157" spans="1:14" x14ac:dyDescent="0.25">
      <c r="A157" s="4">
        <v>5</v>
      </c>
      <c r="B157" s="4">
        <v>2</v>
      </c>
      <c r="C157" s="4">
        <v>4</v>
      </c>
      <c r="D157" s="4">
        <v>4</v>
      </c>
      <c r="E157" s="4">
        <v>6</v>
      </c>
      <c r="F157" s="4">
        <v>4</v>
      </c>
      <c r="G157" s="4">
        <v>4</v>
      </c>
      <c r="H157" s="4">
        <v>6</v>
      </c>
      <c r="I157" s="4">
        <v>2</v>
      </c>
      <c r="J157" s="4">
        <v>5</v>
      </c>
      <c r="K157" s="4">
        <v>4</v>
      </c>
      <c r="L157" s="4">
        <v>3</v>
      </c>
      <c r="M157" s="4">
        <v>3</v>
      </c>
      <c r="N157" s="4">
        <v>3</v>
      </c>
    </row>
    <row r="158" spans="1:14" x14ac:dyDescent="0.25">
      <c r="A158" s="4">
        <v>8</v>
      </c>
      <c r="B158" s="4">
        <v>4</v>
      </c>
      <c r="C158" s="4">
        <v>4</v>
      </c>
      <c r="D158" s="4">
        <v>5</v>
      </c>
      <c r="E158" s="4">
        <v>4</v>
      </c>
      <c r="F158" s="4">
        <v>5</v>
      </c>
      <c r="G158" s="4">
        <v>4</v>
      </c>
      <c r="H158" s="4">
        <v>4</v>
      </c>
      <c r="I158" s="4">
        <v>3</v>
      </c>
      <c r="J158" s="4">
        <v>4</v>
      </c>
      <c r="K158" s="4">
        <v>7</v>
      </c>
      <c r="L158" s="4">
        <v>4</v>
      </c>
      <c r="M158" s="4">
        <v>4</v>
      </c>
      <c r="N158" s="4">
        <v>3</v>
      </c>
    </row>
    <row r="159" spans="1:14" x14ac:dyDescent="0.25">
      <c r="A159" s="4">
        <v>11</v>
      </c>
      <c r="B159" s="4">
        <v>2</v>
      </c>
      <c r="C159" s="4">
        <v>5</v>
      </c>
      <c r="D159" s="4">
        <v>4</v>
      </c>
      <c r="E159" s="4">
        <v>5</v>
      </c>
      <c r="F159" s="4">
        <v>4</v>
      </c>
      <c r="G159" s="4">
        <v>5</v>
      </c>
      <c r="H159" s="4">
        <v>5</v>
      </c>
      <c r="I159" s="4">
        <v>2</v>
      </c>
      <c r="J159" s="4">
        <v>5</v>
      </c>
      <c r="K159" s="4">
        <v>3</v>
      </c>
      <c r="L159" s="4">
        <v>4</v>
      </c>
      <c r="M159" s="4">
        <v>5</v>
      </c>
      <c r="N159" s="4">
        <v>4</v>
      </c>
    </row>
    <row r="160" spans="1:14" x14ac:dyDescent="0.25">
      <c r="A160" s="4">
        <v>12</v>
      </c>
      <c r="B160" s="4">
        <v>4</v>
      </c>
      <c r="C160" s="4">
        <v>4</v>
      </c>
      <c r="D160" s="4">
        <v>3</v>
      </c>
      <c r="E160" s="4">
        <v>4</v>
      </c>
      <c r="F160" s="4">
        <v>3</v>
      </c>
      <c r="G160" s="4">
        <v>4</v>
      </c>
      <c r="H160" s="4">
        <v>4</v>
      </c>
      <c r="I160" s="4">
        <v>2</v>
      </c>
      <c r="J160" s="4">
        <v>4</v>
      </c>
      <c r="K160" s="4">
        <v>7</v>
      </c>
      <c r="L160" s="4">
        <v>4</v>
      </c>
      <c r="M160" s="4">
        <v>3</v>
      </c>
      <c r="N160" s="4">
        <v>2</v>
      </c>
    </row>
    <row r="161" spans="1:14" x14ac:dyDescent="0.25">
      <c r="A161" s="4">
        <v>13</v>
      </c>
      <c r="B161" s="4">
        <v>3</v>
      </c>
      <c r="C161" s="4">
        <v>3</v>
      </c>
      <c r="D161" s="4">
        <v>2</v>
      </c>
      <c r="E161" s="4">
        <v>4</v>
      </c>
      <c r="F161" s="4">
        <v>2</v>
      </c>
      <c r="G161" s="4">
        <v>3</v>
      </c>
      <c r="H161" s="4">
        <v>4</v>
      </c>
      <c r="I161" s="4">
        <v>3</v>
      </c>
      <c r="J161" s="4">
        <v>4</v>
      </c>
      <c r="K161" s="4">
        <v>7</v>
      </c>
      <c r="L161" s="4">
        <v>6</v>
      </c>
      <c r="M161" s="4">
        <v>5</v>
      </c>
      <c r="N161" s="4">
        <v>4</v>
      </c>
    </row>
    <row r="162" spans="1:14" x14ac:dyDescent="0.25">
      <c r="A162" s="4">
        <v>14</v>
      </c>
      <c r="B162" s="4">
        <v>4</v>
      </c>
      <c r="C162" s="4">
        <v>5</v>
      </c>
      <c r="D162" s="4">
        <v>6</v>
      </c>
      <c r="E162" s="4">
        <v>7</v>
      </c>
      <c r="F162" s="4">
        <v>6</v>
      </c>
      <c r="G162" s="4">
        <v>5</v>
      </c>
      <c r="H162" s="4">
        <v>5</v>
      </c>
      <c r="I162" s="4">
        <v>6</v>
      </c>
      <c r="J162" s="4">
        <v>5</v>
      </c>
      <c r="K162" s="4">
        <v>4</v>
      </c>
      <c r="L162" s="4">
        <v>6</v>
      </c>
      <c r="M162" s="4">
        <v>5</v>
      </c>
      <c r="N162" s="4">
        <v>5</v>
      </c>
    </row>
    <row r="163" spans="1:14" x14ac:dyDescent="0.25">
      <c r="A163" s="4">
        <v>16</v>
      </c>
      <c r="B163" s="4">
        <v>4</v>
      </c>
      <c r="C163" s="4">
        <v>5</v>
      </c>
      <c r="D163" s="4">
        <v>6</v>
      </c>
      <c r="E163" s="4">
        <v>5</v>
      </c>
      <c r="F163" s="4">
        <v>5</v>
      </c>
      <c r="G163" s="4">
        <v>5</v>
      </c>
      <c r="H163" s="4">
        <v>5</v>
      </c>
      <c r="I163" s="4">
        <v>6</v>
      </c>
      <c r="J163" s="4">
        <v>5</v>
      </c>
      <c r="K163" s="4">
        <v>7</v>
      </c>
      <c r="L163" s="4">
        <v>5</v>
      </c>
      <c r="M163" s="4">
        <v>4</v>
      </c>
      <c r="N163" s="4">
        <v>4</v>
      </c>
    </row>
    <row r="164" spans="1:14" x14ac:dyDescent="0.25">
      <c r="A164" s="4">
        <v>17</v>
      </c>
      <c r="B164" s="4">
        <v>3</v>
      </c>
      <c r="C164" s="4">
        <v>5</v>
      </c>
      <c r="D164" s="4">
        <v>6</v>
      </c>
      <c r="E164" s="4">
        <v>4</v>
      </c>
      <c r="F164" s="4">
        <v>6</v>
      </c>
      <c r="G164" s="4">
        <v>5</v>
      </c>
      <c r="H164" s="4">
        <v>5</v>
      </c>
      <c r="I164" s="4">
        <v>3</v>
      </c>
      <c r="J164" s="4">
        <v>4</v>
      </c>
      <c r="K164" s="4">
        <v>4</v>
      </c>
      <c r="L164" s="4">
        <v>4</v>
      </c>
      <c r="M164" s="4">
        <v>4</v>
      </c>
      <c r="N164" s="4">
        <v>3</v>
      </c>
    </row>
    <row r="165" spans="1:14" x14ac:dyDescent="0.25">
      <c r="A165" s="4">
        <v>18</v>
      </c>
      <c r="B165" s="4">
        <v>4</v>
      </c>
      <c r="C165" s="4">
        <v>5</v>
      </c>
      <c r="D165" s="4">
        <v>5</v>
      </c>
      <c r="E165" s="4">
        <v>4</v>
      </c>
      <c r="F165" s="4">
        <v>4</v>
      </c>
      <c r="G165" s="4">
        <v>5</v>
      </c>
      <c r="H165" s="4">
        <v>4</v>
      </c>
      <c r="I165" s="4">
        <v>3</v>
      </c>
      <c r="J165" s="4">
        <v>4</v>
      </c>
      <c r="K165" s="4">
        <v>7</v>
      </c>
      <c r="L165" s="4">
        <v>4</v>
      </c>
      <c r="M165" s="4">
        <v>4</v>
      </c>
      <c r="N165" s="4">
        <v>3</v>
      </c>
    </row>
    <row r="166" spans="1:14" x14ac:dyDescent="0.25">
      <c r="A166" s="4">
        <v>19</v>
      </c>
      <c r="B166" s="4">
        <v>2</v>
      </c>
      <c r="C166" s="4">
        <v>4</v>
      </c>
      <c r="D166" s="4">
        <v>2</v>
      </c>
      <c r="E166" s="4">
        <v>5</v>
      </c>
      <c r="F166" s="4">
        <v>2</v>
      </c>
      <c r="G166" s="4">
        <v>6</v>
      </c>
      <c r="H166" s="4">
        <v>4</v>
      </c>
      <c r="I166" s="4">
        <v>2</v>
      </c>
      <c r="J166" s="4">
        <v>5</v>
      </c>
      <c r="K166" s="4">
        <v>4</v>
      </c>
      <c r="L166" s="4">
        <v>3</v>
      </c>
      <c r="M166" s="4">
        <v>3</v>
      </c>
      <c r="N166" s="4">
        <v>2</v>
      </c>
    </row>
    <row r="167" spans="1:14" x14ac:dyDescent="0.25">
      <c r="A167" s="4">
        <v>21</v>
      </c>
      <c r="B167" s="4">
        <v>3</v>
      </c>
      <c r="C167" s="4">
        <v>4</v>
      </c>
      <c r="D167" s="4">
        <v>5</v>
      </c>
      <c r="E167" s="4">
        <v>4</v>
      </c>
      <c r="F167" s="4">
        <v>5</v>
      </c>
      <c r="G167" s="4">
        <v>5</v>
      </c>
      <c r="H167" s="4">
        <v>4</v>
      </c>
      <c r="I167" s="4">
        <v>2</v>
      </c>
      <c r="J167" s="4">
        <v>4</v>
      </c>
      <c r="K167" s="4">
        <v>4</v>
      </c>
      <c r="L167" s="4">
        <v>4</v>
      </c>
      <c r="M167" s="4">
        <v>4</v>
      </c>
      <c r="N167" s="4">
        <v>3</v>
      </c>
    </row>
    <row r="168" spans="1:14" x14ac:dyDescent="0.25">
      <c r="A168" s="4">
        <v>22</v>
      </c>
      <c r="B168" s="4">
        <v>3</v>
      </c>
      <c r="C168" s="4">
        <v>4</v>
      </c>
      <c r="D168" s="4">
        <v>2</v>
      </c>
      <c r="E168" s="4">
        <v>4</v>
      </c>
      <c r="F168" s="4">
        <v>2</v>
      </c>
      <c r="G168" s="4">
        <v>3</v>
      </c>
      <c r="H168" s="4">
        <v>4</v>
      </c>
      <c r="I168" s="4">
        <v>2</v>
      </c>
      <c r="J168" s="4">
        <v>3</v>
      </c>
      <c r="K168" s="4">
        <v>4</v>
      </c>
      <c r="L168" s="4">
        <v>4</v>
      </c>
      <c r="M168" s="4">
        <v>3</v>
      </c>
      <c r="N168" s="4">
        <v>3</v>
      </c>
    </row>
    <row r="169" spans="1:14" x14ac:dyDescent="0.25">
      <c r="A169" s="4">
        <v>23</v>
      </c>
      <c r="B169" s="4">
        <v>4</v>
      </c>
      <c r="C169" s="4">
        <v>6</v>
      </c>
      <c r="D169" s="4">
        <v>6</v>
      </c>
      <c r="E169" s="4">
        <v>5</v>
      </c>
      <c r="F169" s="4">
        <v>6</v>
      </c>
      <c r="G169" s="4">
        <v>6</v>
      </c>
      <c r="H169" s="4">
        <v>5</v>
      </c>
      <c r="I169" s="4">
        <v>6</v>
      </c>
      <c r="J169" s="4">
        <v>3</v>
      </c>
      <c r="K169" s="4">
        <v>7</v>
      </c>
      <c r="L169" s="4">
        <v>5</v>
      </c>
      <c r="M169" s="4">
        <v>5</v>
      </c>
      <c r="N169" s="4">
        <v>4</v>
      </c>
    </row>
    <row r="170" spans="1:14" x14ac:dyDescent="0.25">
      <c r="A170" s="4">
        <v>24</v>
      </c>
      <c r="B170" s="4">
        <v>2</v>
      </c>
      <c r="C170" s="4">
        <v>5</v>
      </c>
      <c r="D170" s="4">
        <v>6</v>
      </c>
      <c r="E170" s="4">
        <v>4</v>
      </c>
      <c r="F170" s="4">
        <v>5</v>
      </c>
      <c r="G170" s="4">
        <v>5</v>
      </c>
      <c r="H170" s="4">
        <v>3</v>
      </c>
      <c r="I170" s="4">
        <v>1</v>
      </c>
      <c r="J170" s="4">
        <v>2</v>
      </c>
      <c r="K170" s="4">
        <v>3</v>
      </c>
      <c r="L170" s="4">
        <v>3</v>
      </c>
      <c r="M170" s="4">
        <v>3</v>
      </c>
      <c r="N170" s="4">
        <v>3</v>
      </c>
    </row>
    <row r="171" spans="1:14" x14ac:dyDescent="0.25">
      <c r="A171" s="4">
        <v>25</v>
      </c>
      <c r="B171" s="4">
        <v>3</v>
      </c>
      <c r="C171" s="4">
        <v>5</v>
      </c>
      <c r="D171" s="4">
        <v>2</v>
      </c>
      <c r="E171" s="4">
        <v>5</v>
      </c>
      <c r="F171" s="4">
        <v>2</v>
      </c>
      <c r="G171" s="4">
        <v>5</v>
      </c>
      <c r="H171" s="4">
        <v>5</v>
      </c>
      <c r="I171" s="4">
        <v>2</v>
      </c>
      <c r="J171" s="4">
        <v>4</v>
      </c>
      <c r="K171" s="4">
        <v>4</v>
      </c>
      <c r="L171" s="4">
        <v>4</v>
      </c>
      <c r="M171" s="4">
        <v>4</v>
      </c>
      <c r="N171" s="4">
        <v>3</v>
      </c>
    </row>
    <row r="172" spans="1:14" x14ac:dyDescent="0.25">
      <c r="A172" s="4">
        <v>29</v>
      </c>
      <c r="B172" s="4">
        <v>4</v>
      </c>
      <c r="C172" s="4">
        <v>5</v>
      </c>
      <c r="D172" s="4">
        <v>6</v>
      </c>
      <c r="E172" s="4">
        <v>6</v>
      </c>
      <c r="F172" s="4">
        <v>6</v>
      </c>
      <c r="G172" s="4">
        <v>4</v>
      </c>
      <c r="H172" s="4">
        <v>4</v>
      </c>
      <c r="I172" s="4">
        <v>3</v>
      </c>
      <c r="J172" s="4">
        <v>4</v>
      </c>
      <c r="K172" s="4">
        <v>7</v>
      </c>
      <c r="L172" s="4">
        <v>6</v>
      </c>
      <c r="M172" s="4">
        <v>5</v>
      </c>
      <c r="N172" s="4">
        <v>5</v>
      </c>
    </row>
    <row r="173" spans="1:14" x14ac:dyDescent="0.25">
      <c r="A173" s="4">
        <v>30</v>
      </c>
      <c r="B173" s="4">
        <v>2</v>
      </c>
      <c r="C173" s="4">
        <v>4</v>
      </c>
      <c r="D173" s="4">
        <v>2</v>
      </c>
      <c r="E173" s="4">
        <v>5</v>
      </c>
      <c r="F173" s="4">
        <v>2</v>
      </c>
      <c r="G173" s="4">
        <v>4</v>
      </c>
      <c r="H173" s="4">
        <v>5</v>
      </c>
      <c r="I173" s="4">
        <v>1</v>
      </c>
      <c r="J173" s="4">
        <v>5</v>
      </c>
      <c r="K173" s="4">
        <v>3</v>
      </c>
      <c r="L173" s="4">
        <v>5</v>
      </c>
      <c r="M173" s="4">
        <v>4</v>
      </c>
      <c r="N173" s="4">
        <v>4</v>
      </c>
    </row>
    <row r="174" spans="1:14" x14ac:dyDescent="0.25">
      <c r="A174" s="4">
        <v>31</v>
      </c>
      <c r="B174" s="4">
        <v>4</v>
      </c>
      <c r="C174" s="4">
        <v>5</v>
      </c>
      <c r="D174" s="4">
        <v>6</v>
      </c>
      <c r="E174" s="4">
        <v>7</v>
      </c>
      <c r="F174" s="4">
        <v>5</v>
      </c>
      <c r="G174" s="4">
        <v>4</v>
      </c>
      <c r="H174" s="4">
        <v>5</v>
      </c>
      <c r="I174" s="4">
        <v>3</v>
      </c>
      <c r="J174" s="4">
        <v>5</v>
      </c>
      <c r="K174" s="4">
        <v>7</v>
      </c>
      <c r="L174" s="4">
        <v>6</v>
      </c>
      <c r="M174" s="4">
        <v>4</v>
      </c>
      <c r="N174" s="4">
        <v>4</v>
      </c>
    </row>
    <row r="175" spans="1:14" x14ac:dyDescent="0.25">
      <c r="A175" s="4">
        <v>32</v>
      </c>
      <c r="B175" s="4">
        <v>2</v>
      </c>
      <c r="C175" s="4">
        <v>5</v>
      </c>
      <c r="D175" s="4">
        <v>6</v>
      </c>
      <c r="E175" s="4">
        <v>7</v>
      </c>
      <c r="F175" s="4">
        <v>6</v>
      </c>
      <c r="G175" s="4">
        <v>4</v>
      </c>
      <c r="H175" s="4">
        <v>6</v>
      </c>
      <c r="I175" s="4">
        <v>2</v>
      </c>
      <c r="J175" s="4">
        <v>6</v>
      </c>
      <c r="K175" s="4">
        <v>3</v>
      </c>
      <c r="L175" s="4">
        <v>7</v>
      </c>
      <c r="M175" s="4">
        <v>6</v>
      </c>
      <c r="N175" s="4">
        <v>5</v>
      </c>
    </row>
    <row r="176" spans="1:14" x14ac:dyDescent="0.25">
      <c r="A176" s="4">
        <v>35</v>
      </c>
      <c r="B176" s="4">
        <v>2</v>
      </c>
      <c r="C176" s="4">
        <v>5</v>
      </c>
      <c r="D176" s="4">
        <v>6</v>
      </c>
      <c r="E176" s="4">
        <v>6</v>
      </c>
      <c r="F176" s="4">
        <v>6</v>
      </c>
      <c r="G176" s="4">
        <v>5</v>
      </c>
      <c r="H176" s="4">
        <v>6</v>
      </c>
      <c r="I176" s="4">
        <v>1</v>
      </c>
      <c r="J176" s="4">
        <v>4</v>
      </c>
      <c r="K176" s="4">
        <v>3</v>
      </c>
      <c r="L176" s="4">
        <v>4</v>
      </c>
      <c r="M176" s="4">
        <v>4</v>
      </c>
      <c r="N176" s="4">
        <v>3</v>
      </c>
    </row>
    <row r="177" spans="1:14" x14ac:dyDescent="0.25">
      <c r="A177" s="4">
        <v>36</v>
      </c>
      <c r="B177" s="4">
        <v>2</v>
      </c>
      <c r="C177" s="4">
        <v>6</v>
      </c>
      <c r="D177" s="4">
        <v>4</v>
      </c>
      <c r="E177" s="4">
        <v>7</v>
      </c>
      <c r="F177" s="4">
        <v>4</v>
      </c>
      <c r="G177" s="4">
        <v>6</v>
      </c>
      <c r="H177" s="4">
        <v>6</v>
      </c>
      <c r="I177" s="4">
        <v>1</v>
      </c>
      <c r="J177" s="4">
        <v>5</v>
      </c>
      <c r="K177" s="4">
        <v>3</v>
      </c>
      <c r="L177" s="4">
        <v>5</v>
      </c>
      <c r="M177" s="4">
        <v>5</v>
      </c>
      <c r="N177" s="4">
        <v>4</v>
      </c>
    </row>
    <row r="178" spans="1:14" x14ac:dyDescent="0.25">
      <c r="A178" s="4">
        <v>38</v>
      </c>
      <c r="B178" s="4">
        <v>2</v>
      </c>
      <c r="C178" s="4">
        <v>6</v>
      </c>
      <c r="D178" s="4">
        <v>5</v>
      </c>
      <c r="E178" s="4">
        <v>7</v>
      </c>
      <c r="F178" s="4">
        <v>5</v>
      </c>
      <c r="G178" s="4">
        <v>3</v>
      </c>
      <c r="H178" s="4">
        <v>7</v>
      </c>
      <c r="I178" s="4">
        <v>6</v>
      </c>
      <c r="J178" s="4">
        <v>5</v>
      </c>
      <c r="K178" s="4">
        <v>3</v>
      </c>
      <c r="L178" s="4">
        <v>5</v>
      </c>
      <c r="M178" s="4">
        <v>5</v>
      </c>
      <c r="N178" s="4">
        <v>4</v>
      </c>
    </row>
    <row r="179" spans="1:14" x14ac:dyDescent="0.25">
      <c r="A179" s="4">
        <v>40</v>
      </c>
      <c r="B179" s="4">
        <v>2</v>
      </c>
      <c r="C179" s="4">
        <v>4</v>
      </c>
      <c r="D179" s="4">
        <v>6</v>
      </c>
      <c r="E179" s="4">
        <v>7</v>
      </c>
      <c r="F179" s="4">
        <v>5</v>
      </c>
      <c r="G179" s="4">
        <v>6</v>
      </c>
      <c r="H179" s="4">
        <v>6</v>
      </c>
      <c r="I179" s="4">
        <v>1</v>
      </c>
      <c r="J179" s="4">
        <v>7</v>
      </c>
      <c r="K179" s="4">
        <v>3</v>
      </c>
      <c r="L179" s="4">
        <v>6</v>
      </c>
      <c r="M179" s="4">
        <v>5</v>
      </c>
      <c r="N179" s="4">
        <v>3</v>
      </c>
    </row>
    <row r="180" spans="1:14" x14ac:dyDescent="0.25">
      <c r="A180" s="4">
        <v>45</v>
      </c>
      <c r="B180" s="4">
        <v>2</v>
      </c>
      <c r="C180" s="4">
        <v>5</v>
      </c>
      <c r="D180" s="4">
        <v>3</v>
      </c>
      <c r="E180" s="4">
        <v>5</v>
      </c>
      <c r="F180" s="4">
        <v>3</v>
      </c>
      <c r="G180" s="4">
        <v>5</v>
      </c>
      <c r="H180" s="4">
        <v>5</v>
      </c>
      <c r="I180" s="4">
        <v>1</v>
      </c>
      <c r="J180" s="4">
        <v>4</v>
      </c>
      <c r="K180" s="4">
        <v>3</v>
      </c>
      <c r="L180" s="4">
        <v>4</v>
      </c>
      <c r="M180" s="4">
        <v>4</v>
      </c>
      <c r="N180" s="4">
        <v>4</v>
      </c>
    </row>
    <row r="181" spans="1:14" x14ac:dyDescent="0.25">
      <c r="A181" s="4">
        <v>46</v>
      </c>
      <c r="B181" s="4">
        <v>4</v>
      </c>
      <c r="C181" s="4">
        <v>6</v>
      </c>
      <c r="D181" s="4">
        <v>6</v>
      </c>
      <c r="E181" s="4">
        <v>5</v>
      </c>
      <c r="F181" s="4">
        <v>6</v>
      </c>
      <c r="G181" s="4">
        <v>6</v>
      </c>
      <c r="H181" s="4">
        <v>5</v>
      </c>
      <c r="I181" s="4">
        <v>3</v>
      </c>
      <c r="J181" s="4">
        <v>5</v>
      </c>
      <c r="K181" s="4">
        <v>7</v>
      </c>
      <c r="L181" s="4">
        <v>5</v>
      </c>
      <c r="M181" s="4">
        <v>5</v>
      </c>
      <c r="N181" s="4">
        <v>4</v>
      </c>
    </row>
    <row r="182" spans="1:14" x14ac:dyDescent="0.25">
      <c r="A182" s="4">
        <v>47</v>
      </c>
      <c r="B182" s="4">
        <v>2</v>
      </c>
      <c r="C182" s="4">
        <v>4</v>
      </c>
      <c r="D182" s="4">
        <v>4</v>
      </c>
      <c r="E182" s="4">
        <v>5</v>
      </c>
      <c r="F182" s="4">
        <v>4</v>
      </c>
      <c r="G182" s="4">
        <v>5</v>
      </c>
      <c r="H182" s="4">
        <v>5</v>
      </c>
      <c r="I182" s="4">
        <v>2</v>
      </c>
      <c r="J182" s="4">
        <v>5</v>
      </c>
      <c r="K182" s="4">
        <v>4</v>
      </c>
      <c r="L182" s="4">
        <v>3</v>
      </c>
      <c r="M182" s="4">
        <v>3</v>
      </c>
      <c r="N182" s="4">
        <v>3</v>
      </c>
    </row>
    <row r="183" spans="1:14" x14ac:dyDescent="0.25">
      <c r="A183" s="4">
        <v>50</v>
      </c>
      <c r="B183" s="4">
        <v>3</v>
      </c>
      <c r="C183" s="4">
        <v>5</v>
      </c>
      <c r="D183" s="4">
        <v>5</v>
      </c>
      <c r="E183" s="4">
        <v>4</v>
      </c>
      <c r="F183" s="4">
        <v>5</v>
      </c>
      <c r="G183" s="4">
        <v>5</v>
      </c>
      <c r="H183" s="4">
        <v>4</v>
      </c>
      <c r="I183" s="4">
        <v>3</v>
      </c>
      <c r="J183" s="4">
        <v>4</v>
      </c>
      <c r="K183" s="4">
        <v>7</v>
      </c>
      <c r="L183" s="4">
        <v>4</v>
      </c>
      <c r="M183" s="4">
        <v>4</v>
      </c>
      <c r="N183" s="4">
        <v>3</v>
      </c>
    </row>
    <row r="184" spans="1:14" x14ac:dyDescent="0.25">
      <c r="A184" s="4">
        <v>51</v>
      </c>
      <c r="B184" s="4">
        <v>2</v>
      </c>
      <c r="C184" s="4">
        <v>5</v>
      </c>
      <c r="D184" s="4">
        <v>4</v>
      </c>
      <c r="E184" s="4">
        <v>5</v>
      </c>
      <c r="F184" s="4">
        <v>4</v>
      </c>
      <c r="G184" s="4">
        <v>5</v>
      </c>
      <c r="H184" s="4">
        <v>5</v>
      </c>
      <c r="I184" s="4">
        <v>3</v>
      </c>
      <c r="J184" s="4">
        <v>5</v>
      </c>
      <c r="K184" s="4">
        <v>3</v>
      </c>
      <c r="L184" s="4">
        <v>4</v>
      </c>
      <c r="M184" s="4">
        <v>5</v>
      </c>
      <c r="N184" s="4">
        <v>5</v>
      </c>
    </row>
    <row r="185" spans="1:14" x14ac:dyDescent="0.25">
      <c r="A185" s="4">
        <v>52</v>
      </c>
      <c r="B185" s="4">
        <v>4</v>
      </c>
      <c r="C185" s="4">
        <v>5</v>
      </c>
      <c r="D185" s="4">
        <v>3</v>
      </c>
      <c r="E185" s="4">
        <v>4</v>
      </c>
      <c r="F185" s="4">
        <v>3</v>
      </c>
      <c r="G185" s="4">
        <v>6</v>
      </c>
      <c r="H185" s="4">
        <v>4</v>
      </c>
      <c r="I185" s="4">
        <v>2</v>
      </c>
      <c r="J185" s="4">
        <v>4</v>
      </c>
      <c r="K185" s="4">
        <v>7</v>
      </c>
      <c r="L185" s="4">
        <v>4</v>
      </c>
      <c r="M185" s="4">
        <v>3</v>
      </c>
      <c r="N185" s="4">
        <v>2</v>
      </c>
    </row>
    <row r="186" spans="1:14" x14ac:dyDescent="0.25">
      <c r="A186" s="4">
        <v>53</v>
      </c>
      <c r="B186" s="4">
        <v>4</v>
      </c>
      <c r="C186" s="4">
        <v>5</v>
      </c>
      <c r="D186" s="4">
        <v>6</v>
      </c>
      <c r="E186" s="4">
        <v>7</v>
      </c>
      <c r="F186" s="4">
        <v>6</v>
      </c>
      <c r="G186" s="4">
        <v>7</v>
      </c>
      <c r="H186" s="4">
        <v>5</v>
      </c>
      <c r="I186" s="4">
        <v>6</v>
      </c>
      <c r="J186" s="4">
        <v>5</v>
      </c>
      <c r="K186" s="4">
        <v>4</v>
      </c>
      <c r="L186" s="4">
        <v>6</v>
      </c>
      <c r="M186" s="4">
        <v>5</v>
      </c>
      <c r="N186" s="4">
        <v>5</v>
      </c>
    </row>
    <row r="187" spans="1:14" x14ac:dyDescent="0.25">
      <c r="A187" s="4">
        <v>54</v>
      </c>
      <c r="B187" s="4">
        <v>4</v>
      </c>
      <c r="C187" s="4">
        <v>5</v>
      </c>
      <c r="D187" s="4">
        <v>5</v>
      </c>
      <c r="E187" s="4">
        <v>4</v>
      </c>
      <c r="F187" s="4">
        <v>4</v>
      </c>
      <c r="G187" s="4">
        <v>5</v>
      </c>
      <c r="H187" s="4">
        <v>4</v>
      </c>
      <c r="I187" s="4">
        <v>3</v>
      </c>
      <c r="J187" s="4">
        <v>4</v>
      </c>
      <c r="K187" s="4">
        <v>7</v>
      </c>
      <c r="L187" s="4">
        <v>4</v>
      </c>
      <c r="M187" s="4">
        <v>4</v>
      </c>
      <c r="N187" s="4">
        <v>3</v>
      </c>
    </row>
    <row r="188" spans="1:14" x14ac:dyDescent="0.25">
      <c r="A188" s="4">
        <v>56</v>
      </c>
      <c r="B188" s="4">
        <v>3</v>
      </c>
      <c r="C188" s="4">
        <v>5</v>
      </c>
      <c r="D188" s="4">
        <v>5</v>
      </c>
      <c r="E188" s="4">
        <v>4</v>
      </c>
      <c r="F188" s="4">
        <v>5</v>
      </c>
      <c r="G188" s="4">
        <v>5</v>
      </c>
      <c r="H188" s="4">
        <v>4</v>
      </c>
      <c r="I188" s="4">
        <v>2</v>
      </c>
      <c r="J188" s="4">
        <v>4</v>
      </c>
      <c r="K188" s="4">
        <v>4</v>
      </c>
      <c r="L188" s="4">
        <v>4</v>
      </c>
      <c r="M188" s="4">
        <v>4</v>
      </c>
      <c r="N188" s="4">
        <v>3</v>
      </c>
    </row>
    <row r="189" spans="1:14" x14ac:dyDescent="0.25">
      <c r="A189" s="4">
        <v>57</v>
      </c>
      <c r="B189" s="4">
        <v>4</v>
      </c>
      <c r="C189" s="4">
        <v>6</v>
      </c>
      <c r="D189" s="4">
        <v>6</v>
      </c>
      <c r="E189" s="4">
        <v>5</v>
      </c>
      <c r="F189" s="4">
        <v>6</v>
      </c>
      <c r="G189" s="4">
        <v>6</v>
      </c>
      <c r="H189" s="4">
        <v>5</v>
      </c>
      <c r="I189" s="4">
        <v>3</v>
      </c>
      <c r="J189" s="4">
        <v>4</v>
      </c>
      <c r="K189" s="4">
        <v>7</v>
      </c>
      <c r="L189" s="4">
        <v>5</v>
      </c>
      <c r="M189" s="4">
        <v>5</v>
      </c>
      <c r="N189" s="4">
        <v>4</v>
      </c>
    </row>
    <row r="190" spans="1:14" x14ac:dyDescent="0.25">
      <c r="A190" s="4">
        <v>58</v>
      </c>
      <c r="B190" s="4">
        <v>2</v>
      </c>
      <c r="C190" s="4">
        <v>5</v>
      </c>
      <c r="D190" s="4">
        <v>6</v>
      </c>
      <c r="E190" s="4">
        <v>4</v>
      </c>
      <c r="F190" s="4">
        <v>5</v>
      </c>
      <c r="G190" s="4">
        <v>4</v>
      </c>
      <c r="H190" s="4">
        <v>3</v>
      </c>
      <c r="I190" s="4">
        <v>1</v>
      </c>
      <c r="J190" s="4">
        <v>2</v>
      </c>
      <c r="K190" s="4">
        <v>3</v>
      </c>
      <c r="L190" s="4">
        <v>3</v>
      </c>
      <c r="M190" s="4">
        <v>2</v>
      </c>
      <c r="N190" s="4">
        <v>2</v>
      </c>
    </row>
    <row r="191" spans="1:14" x14ac:dyDescent="0.25">
      <c r="A191" s="4">
        <v>61</v>
      </c>
      <c r="B191" s="4">
        <v>4</v>
      </c>
      <c r="C191" s="4">
        <v>5</v>
      </c>
      <c r="D191" s="4">
        <v>6</v>
      </c>
      <c r="E191" s="4">
        <v>7</v>
      </c>
      <c r="F191" s="4">
        <v>5</v>
      </c>
      <c r="G191" s="4">
        <v>6</v>
      </c>
      <c r="H191" s="4">
        <v>5</v>
      </c>
      <c r="I191" s="4">
        <v>3</v>
      </c>
      <c r="J191" s="4">
        <v>5</v>
      </c>
      <c r="K191" s="4">
        <v>7</v>
      </c>
      <c r="L191" s="4">
        <v>6</v>
      </c>
      <c r="M191" s="4">
        <v>5</v>
      </c>
      <c r="N191" s="4">
        <v>5</v>
      </c>
    </row>
    <row r="192" spans="1:14" x14ac:dyDescent="0.25">
      <c r="A192" s="4">
        <v>62</v>
      </c>
      <c r="B192" s="4">
        <v>2</v>
      </c>
      <c r="C192" s="4">
        <v>5</v>
      </c>
      <c r="D192" s="4">
        <v>6</v>
      </c>
      <c r="E192" s="4">
        <v>7</v>
      </c>
      <c r="F192" s="4">
        <v>6</v>
      </c>
      <c r="G192" s="4">
        <v>6</v>
      </c>
      <c r="H192" s="4">
        <v>6</v>
      </c>
      <c r="I192" s="4">
        <v>2</v>
      </c>
      <c r="J192" s="4">
        <v>6</v>
      </c>
      <c r="K192" s="4">
        <v>3</v>
      </c>
      <c r="L192" s="4">
        <v>6</v>
      </c>
      <c r="M192" s="4">
        <v>5</v>
      </c>
      <c r="N192" s="4">
        <v>5</v>
      </c>
    </row>
    <row r="193" spans="1:14" x14ac:dyDescent="0.25">
      <c r="A193" s="4">
        <v>65</v>
      </c>
      <c r="B193" s="4">
        <v>2</v>
      </c>
      <c r="C193" s="4">
        <v>5</v>
      </c>
      <c r="D193" s="4">
        <v>3</v>
      </c>
      <c r="E193" s="4">
        <v>7</v>
      </c>
      <c r="F193" s="4">
        <v>3</v>
      </c>
      <c r="G193" s="4">
        <v>5</v>
      </c>
      <c r="H193" s="4">
        <v>7</v>
      </c>
      <c r="I193" s="4">
        <v>3</v>
      </c>
      <c r="J193" s="4">
        <v>6</v>
      </c>
      <c r="K193" s="4">
        <v>3</v>
      </c>
      <c r="L193" s="4">
        <v>4</v>
      </c>
      <c r="M193" s="4">
        <v>4</v>
      </c>
      <c r="N193" s="4">
        <v>4</v>
      </c>
    </row>
    <row r="194" spans="1:14" x14ac:dyDescent="0.25">
      <c r="A194" s="4">
        <v>66</v>
      </c>
      <c r="B194" s="4">
        <v>1</v>
      </c>
      <c r="C194" s="4">
        <v>4</v>
      </c>
      <c r="D194" s="4">
        <v>6</v>
      </c>
      <c r="E194" s="4">
        <v>5</v>
      </c>
      <c r="F194" s="4">
        <v>6</v>
      </c>
      <c r="G194" s="4">
        <v>4</v>
      </c>
      <c r="H194" s="4">
        <v>4</v>
      </c>
      <c r="I194" s="4">
        <v>1</v>
      </c>
      <c r="J194" s="4">
        <v>3</v>
      </c>
      <c r="K194" s="4">
        <v>1</v>
      </c>
      <c r="L194" s="4">
        <v>6</v>
      </c>
      <c r="M194" s="4">
        <v>5</v>
      </c>
      <c r="N194" s="4">
        <v>5</v>
      </c>
    </row>
    <row r="195" spans="1:14" x14ac:dyDescent="0.25">
      <c r="A195" s="4">
        <v>67</v>
      </c>
      <c r="B195" s="4">
        <v>4</v>
      </c>
      <c r="C195" s="4">
        <v>5</v>
      </c>
      <c r="D195" s="4">
        <v>6</v>
      </c>
      <c r="E195" s="4">
        <v>5</v>
      </c>
      <c r="F195" s="4">
        <v>6</v>
      </c>
      <c r="G195" s="4">
        <v>5</v>
      </c>
      <c r="H195" s="4">
        <v>5</v>
      </c>
      <c r="I195" s="4">
        <v>3</v>
      </c>
      <c r="J195" s="4">
        <v>5</v>
      </c>
      <c r="K195" s="4">
        <v>7</v>
      </c>
      <c r="L195" s="4">
        <v>5</v>
      </c>
      <c r="M195" s="4">
        <v>4</v>
      </c>
      <c r="N195" s="4">
        <v>4</v>
      </c>
    </row>
    <row r="196" spans="1:14" x14ac:dyDescent="0.25">
      <c r="A196" s="4">
        <v>68</v>
      </c>
      <c r="B196" s="4">
        <v>2</v>
      </c>
      <c r="C196" s="4">
        <v>4</v>
      </c>
      <c r="D196" s="4">
        <v>4</v>
      </c>
      <c r="E196" s="4">
        <v>6</v>
      </c>
      <c r="F196" s="4">
        <v>4</v>
      </c>
      <c r="G196" s="4">
        <v>4</v>
      </c>
      <c r="H196" s="4">
        <v>6</v>
      </c>
      <c r="I196" s="4">
        <v>2</v>
      </c>
      <c r="J196" s="4">
        <v>5</v>
      </c>
      <c r="K196" s="4">
        <v>4</v>
      </c>
      <c r="L196" s="4">
        <v>3</v>
      </c>
      <c r="M196" s="4">
        <v>3</v>
      </c>
      <c r="N196" s="4">
        <v>3</v>
      </c>
    </row>
    <row r="197" spans="1:14" x14ac:dyDescent="0.25">
      <c r="A197" s="4">
        <v>71</v>
      </c>
      <c r="B197" s="4">
        <v>4</v>
      </c>
      <c r="C197" s="4">
        <v>4</v>
      </c>
      <c r="D197" s="4">
        <v>5</v>
      </c>
      <c r="E197" s="4">
        <v>4</v>
      </c>
      <c r="F197" s="4">
        <v>5</v>
      </c>
      <c r="G197" s="4">
        <v>4</v>
      </c>
      <c r="H197" s="4">
        <v>4</v>
      </c>
      <c r="I197" s="4">
        <v>3</v>
      </c>
      <c r="J197" s="4">
        <v>4</v>
      </c>
      <c r="K197" s="4">
        <v>7</v>
      </c>
      <c r="L197" s="4">
        <v>4</v>
      </c>
      <c r="M197" s="4">
        <v>4</v>
      </c>
      <c r="N197" s="4">
        <v>3</v>
      </c>
    </row>
    <row r="198" spans="1:14" x14ac:dyDescent="0.25">
      <c r="A198" s="4">
        <v>74</v>
      </c>
      <c r="B198" s="4">
        <v>2</v>
      </c>
      <c r="C198" s="4">
        <v>5</v>
      </c>
      <c r="D198" s="4">
        <v>4</v>
      </c>
      <c r="E198" s="4">
        <v>5</v>
      </c>
      <c r="F198" s="4">
        <v>4</v>
      </c>
      <c r="G198" s="4">
        <v>5</v>
      </c>
      <c r="H198" s="4">
        <v>5</v>
      </c>
      <c r="I198" s="4">
        <v>2</v>
      </c>
      <c r="J198" s="4">
        <v>5</v>
      </c>
      <c r="K198" s="4">
        <v>2</v>
      </c>
      <c r="L198" s="4">
        <v>4</v>
      </c>
      <c r="M198" s="4">
        <v>5</v>
      </c>
      <c r="N198" s="4">
        <v>4</v>
      </c>
    </row>
    <row r="199" spans="1:14" x14ac:dyDescent="0.25">
      <c r="A199" s="4">
        <v>75</v>
      </c>
      <c r="B199" s="4">
        <v>4</v>
      </c>
      <c r="C199" s="4">
        <v>4</v>
      </c>
      <c r="D199" s="4">
        <v>3</v>
      </c>
      <c r="E199" s="4">
        <v>4</v>
      </c>
      <c r="F199" s="4">
        <v>3</v>
      </c>
      <c r="G199" s="4">
        <v>4</v>
      </c>
      <c r="H199" s="4">
        <v>4</v>
      </c>
      <c r="I199" s="4">
        <v>2</v>
      </c>
      <c r="J199" s="4">
        <v>4</v>
      </c>
      <c r="K199" s="4">
        <v>7</v>
      </c>
      <c r="L199" s="4">
        <v>4</v>
      </c>
      <c r="M199" s="4">
        <v>3</v>
      </c>
      <c r="N199" s="4">
        <v>2</v>
      </c>
    </row>
    <row r="200" spans="1:14" x14ac:dyDescent="0.25">
      <c r="A200" s="4">
        <v>76</v>
      </c>
      <c r="B200" s="4">
        <v>3</v>
      </c>
      <c r="C200" s="4">
        <v>3</v>
      </c>
      <c r="D200" s="4">
        <v>2</v>
      </c>
      <c r="E200" s="4">
        <v>4</v>
      </c>
      <c r="F200" s="4">
        <v>2</v>
      </c>
      <c r="G200" s="4">
        <v>3</v>
      </c>
      <c r="H200" s="4">
        <v>4</v>
      </c>
      <c r="I200" s="4">
        <v>3</v>
      </c>
      <c r="J200" s="4">
        <v>4</v>
      </c>
      <c r="K200" s="4">
        <v>7</v>
      </c>
      <c r="L200" s="4">
        <v>4</v>
      </c>
      <c r="M200" s="4">
        <v>4</v>
      </c>
      <c r="N200" s="4">
        <v>3</v>
      </c>
    </row>
    <row r="201" spans="1:14" x14ac:dyDescent="0.25">
      <c r="A201" s="4">
        <v>77</v>
      </c>
      <c r="B201" s="4">
        <v>4</v>
      </c>
      <c r="C201" s="4">
        <v>5</v>
      </c>
      <c r="D201" s="4">
        <v>6</v>
      </c>
      <c r="E201" s="4">
        <v>7</v>
      </c>
      <c r="F201" s="4">
        <v>6</v>
      </c>
      <c r="G201" s="4">
        <v>5</v>
      </c>
      <c r="H201" s="4">
        <v>5</v>
      </c>
      <c r="I201" s="4">
        <v>6</v>
      </c>
      <c r="J201" s="4">
        <v>5</v>
      </c>
      <c r="K201" s="4">
        <v>4</v>
      </c>
      <c r="L201" s="4">
        <v>7</v>
      </c>
      <c r="M201" s="4">
        <v>6</v>
      </c>
      <c r="N201" s="4">
        <v>5</v>
      </c>
    </row>
    <row r="202" spans="1:14" x14ac:dyDescent="0.25">
      <c r="A202" s="4">
        <v>79</v>
      </c>
      <c r="B202" s="4">
        <v>4</v>
      </c>
      <c r="C202" s="4">
        <v>5</v>
      </c>
      <c r="D202" s="4">
        <v>6</v>
      </c>
      <c r="E202" s="4">
        <v>5</v>
      </c>
      <c r="F202" s="4">
        <v>5</v>
      </c>
      <c r="G202" s="4">
        <v>5</v>
      </c>
      <c r="H202" s="4">
        <v>5</v>
      </c>
      <c r="I202" s="4">
        <v>6</v>
      </c>
      <c r="J202" s="4">
        <v>5</v>
      </c>
      <c r="K202" s="4">
        <v>7</v>
      </c>
      <c r="L202" s="4">
        <v>5</v>
      </c>
      <c r="M202" s="4">
        <v>4</v>
      </c>
      <c r="N202" s="4">
        <v>4</v>
      </c>
    </row>
    <row r="203" spans="1:14" x14ac:dyDescent="0.25">
      <c r="A203" s="4">
        <v>80</v>
      </c>
      <c r="B203" s="4">
        <v>3</v>
      </c>
      <c r="C203" s="4">
        <v>5</v>
      </c>
      <c r="D203" s="4">
        <v>6</v>
      </c>
      <c r="E203" s="4">
        <v>4</v>
      </c>
      <c r="F203" s="4">
        <v>6</v>
      </c>
      <c r="G203" s="4">
        <v>5</v>
      </c>
      <c r="H203" s="4">
        <v>5</v>
      </c>
      <c r="I203" s="4">
        <v>3</v>
      </c>
      <c r="J203" s="4">
        <v>4</v>
      </c>
      <c r="K203" s="4">
        <v>3</v>
      </c>
      <c r="L203" s="4">
        <v>4</v>
      </c>
      <c r="M203" s="4">
        <v>4</v>
      </c>
      <c r="N203" s="4">
        <v>3</v>
      </c>
    </row>
    <row r="204" spans="1:14" x14ac:dyDescent="0.25">
      <c r="A204" s="4">
        <v>81</v>
      </c>
      <c r="B204" s="4">
        <v>4</v>
      </c>
      <c r="C204" s="4">
        <v>5</v>
      </c>
      <c r="D204" s="4">
        <v>5</v>
      </c>
      <c r="E204" s="4">
        <v>4</v>
      </c>
      <c r="F204" s="4">
        <v>4</v>
      </c>
      <c r="G204" s="4">
        <v>5</v>
      </c>
      <c r="H204" s="4">
        <v>4</v>
      </c>
      <c r="I204" s="4">
        <v>3</v>
      </c>
      <c r="J204" s="4">
        <v>4</v>
      </c>
      <c r="K204" s="4">
        <v>7</v>
      </c>
      <c r="L204" s="4">
        <v>5</v>
      </c>
      <c r="M204" s="4">
        <v>5</v>
      </c>
      <c r="N204" s="4">
        <v>5</v>
      </c>
    </row>
    <row r="205" spans="1:14" x14ac:dyDescent="0.25">
      <c r="A205" s="4">
        <v>82</v>
      </c>
      <c r="B205" s="4">
        <v>2</v>
      </c>
      <c r="C205" s="4">
        <v>4</v>
      </c>
      <c r="D205" s="4">
        <v>2</v>
      </c>
      <c r="E205" s="4">
        <v>5</v>
      </c>
      <c r="F205" s="4">
        <v>2</v>
      </c>
      <c r="G205" s="4">
        <v>6</v>
      </c>
      <c r="H205" s="4">
        <v>4</v>
      </c>
      <c r="I205" s="4">
        <v>2</v>
      </c>
      <c r="J205" s="4">
        <v>5</v>
      </c>
      <c r="K205" s="4">
        <v>2</v>
      </c>
      <c r="L205" s="4">
        <v>3</v>
      </c>
      <c r="M205" s="4">
        <v>3</v>
      </c>
      <c r="N205" s="4">
        <v>2</v>
      </c>
    </row>
    <row r="206" spans="1:14" x14ac:dyDescent="0.25">
      <c r="A206" s="4">
        <v>84</v>
      </c>
      <c r="B206" s="4">
        <v>3</v>
      </c>
      <c r="C206" s="4">
        <v>4</v>
      </c>
      <c r="D206" s="4">
        <v>5</v>
      </c>
      <c r="E206" s="4">
        <v>4</v>
      </c>
      <c r="F206" s="4">
        <v>5</v>
      </c>
      <c r="G206" s="4">
        <v>5</v>
      </c>
      <c r="H206" s="4">
        <v>4</v>
      </c>
      <c r="I206" s="4">
        <v>2</v>
      </c>
      <c r="J206" s="4">
        <v>4</v>
      </c>
      <c r="K206" s="4">
        <v>2</v>
      </c>
      <c r="L206" s="4">
        <v>4</v>
      </c>
      <c r="M206" s="4">
        <v>4</v>
      </c>
      <c r="N206" s="4">
        <v>3</v>
      </c>
    </row>
    <row r="207" spans="1:14" x14ac:dyDescent="0.25">
      <c r="A207" s="4">
        <v>85</v>
      </c>
      <c r="B207" s="4">
        <v>3</v>
      </c>
      <c r="C207" s="4">
        <v>4</v>
      </c>
      <c r="D207" s="4">
        <v>2</v>
      </c>
      <c r="E207" s="4">
        <v>4</v>
      </c>
      <c r="F207" s="4">
        <v>2</v>
      </c>
      <c r="G207" s="4">
        <v>3</v>
      </c>
      <c r="H207" s="4">
        <v>4</v>
      </c>
      <c r="I207" s="4">
        <v>4</v>
      </c>
      <c r="J207" s="4">
        <v>3</v>
      </c>
      <c r="K207" s="4">
        <v>4</v>
      </c>
      <c r="L207" s="4">
        <v>4</v>
      </c>
      <c r="M207" s="4">
        <v>3</v>
      </c>
      <c r="N207" s="4">
        <v>3</v>
      </c>
    </row>
    <row r="208" spans="1:14" x14ac:dyDescent="0.25">
      <c r="A208" s="4">
        <v>86</v>
      </c>
      <c r="B208" s="4">
        <v>4</v>
      </c>
      <c r="C208" s="4">
        <v>6</v>
      </c>
      <c r="D208" s="4">
        <v>6</v>
      </c>
      <c r="E208" s="4">
        <v>5</v>
      </c>
      <c r="F208" s="4">
        <v>6</v>
      </c>
      <c r="G208" s="4">
        <v>6</v>
      </c>
      <c r="H208" s="4">
        <v>5</v>
      </c>
      <c r="I208" s="4">
        <v>7</v>
      </c>
      <c r="J208" s="4">
        <v>3</v>
      </c>
      <c r="K208" s="4">
        <v>7</v>
      </c>
      <c r="L208" s="4">
        <v>5</v>
      </c>
      <c r="M208" s="4">
        <v>5</v>
      </c>
      <c r="N208" s="4">
        <v>4</v>
      </c>
    </row>
    <row r="209" spans="1:14" x14ac:dyDescent="0.25">
      <c r="A209" s="4">
        <v>87</v>
      </c>
      <c r="B209" s="4">
        <v>2</v>
      </c>
      <c r="C209" s="4">
        <v>5</v>
      </c>
      <c r="D209" s="4">
        <v>6</v>
      </c>
      <c r="E209" s="4">
        <v>4</v>
      </c>
      <c r="F209" s="4">
        <v>5</v>
      </c>
      <c r="G209" s="4">
        <v>5</v>
      </c>
      <c r="H209" s="4">
        <v>3</v>
      </c>
      <c r="I209" s="4">
        <v>1</v>
      </c>
      <c r="J209" s="4">
        <v>2</v>
      </c>
      <c r="K209" s="4">
        <v>3</v>
      </c>
      <c r="L209" s="4">
        <v>4</v>
      </c>
      <c r="M209" s="4">
        <v>4</v>
      </c>
      <c r="N209" s="4">
        <v>4</v>
      </c>
    </row>
    <row r="210" spans="1:14" x14ac:dyDescent="0.25">
      <c r="A210" s="4">
        <v>88</v>
      </c>
      <c r="B210" s="4">
        <v>3</v>
      </c>
      <c r="C210" s="4">
        <v>5</v>
      </c>
      <c r="D210" s="4">
        <v>2</v>
      </c>
      <c r="E210" s="4">
        <v>5</v>
      </c>
      <c r="F210" s="4">
        <v>2</v>
      </c>
      <c r="G210" s="4">
        <v>5</v>
      </c>
      <c r="H210" s="4">
        <v>5</v>
      </c>
      <c r="I210" s="4">
        <v>2</v>
      </c>
      <c r="J210" s="4">
        <v>4</v>
      </c>
      <c r="K210" s="4">
        <v>4</v>
      </c>
      <c r="L210" s="4">
        <v>4</v>
      </c>
      <c r="M210" s="4">
        <v>4</v>
      </c>
      <c r="N210" s="4">
        <v>3</v>
      </c>
    </row>
    <row r="211" spans="1:14" x14ac:dyDescent="0.25">
      <c r="A211" s="4">
        <v>92</v>
      </c>
      <c r="B211" s="4">
        <v>4</v>
      </c>
      <c r="C211" s="4">
        <v>5</v>
      </c>
      <c r="D211" s="4">
        <v>6</v>
      </c>
      <c r="E211" s="4">
        <v>6</v>
      </c>
      <c r="F211" s="4">
        <v>6</v>
      </c>
      <c r="G211" s="4">
        <v>4</v>
      </c>
      <c r="H211" s="4">
        <v>4</v>
      </c>
      <c r="I211" s="4">
        <v>7</v>
      </c>
      <c r="J211" s="4">
        <v>4</v>
      </c>
      <c r="K211" s="4">
        <v>7</v>
      </c>
      <c r="L211" s="4">
        <v>6</v>
      </c>
      <c r="M211" s="4">
        <v>5</v>
      </c>
      <c r="N211" s="4">
        <v>5</v>
      </c>
    </row>
    <row r="212" spans="1:14" x14ac:dyDescent="0.25">
      <c r="A212" s="4">
        <v>93</v>
      </c>
      <c r="B212" s="4">
        <v>2</v>
      </c>
      <c r="C212" s="4">
        <v>4</v>
      </c>
      <c r="D212" s="4">
        <v>2</v>
      </c>
      <c r="E212" s="4">
        <v>5</v>
      </c>
      <c r="F212" s="4">
        <v>2</v>
      </c>
      <c r="G212" s="4">
        <v>4</v>
      </c>
      <c r="H212" s="4">
        <v>5</v>
      </c>
      <c r="I212" s="4">
        <v>3</v>
      </c>
      <c r="J212" s="4">
        <v>5</v>
      </c>
      <c r="K212" s="4">
        <v>3</v>
      </c>
      <c r="L212" s="4">
        <v>5</v>
      </c>
      <c r="M212" s="4">
        <v>4</v>
      </c>
      <c r="N212" s="4">
        <v>4</v>
      </c>
    </row>
    <row r="213" spans="1:14" x14ac:dyDescent="0.25">
      <c r="A213" s="4">
        <v>94</v>
      </c>
      <c r="B213" s="4">
        <v>4</v>
      </c>
      <c r="C213" s="4">
        <v>5</v>
      </c>
      <c r="D213" s="4">
        <v>6</v>
      </c>
      <c r="E213" s="4">
        <v>7</v>
      </c>
      <c r="F213" s="4">
        <v>5</v>
      </c>
      <c r="G213" s="4">
        <v>4</v>
      </c>
      <c r="H213" s="4">
        <v>5</v>
      </c>
      <c r="I213" s="4">
        <v>3</v>
      </c>
      <c r="J213" s="4">
        <v>5</v>
      </c>
      <c r="K213" s="4">
        <v>7</v>
      </c>
      <c r="L213" s="4">
        <v>6</v>
      </c>
      <c r="M213" s="4">
        <v>4</v>
      </c>
      <c r="N213" s="4">
        <v>4</v>
      </c>
    </row>
    <row r="214" spans="1:14" x14ac:dyDescent="0.25">
      <c r="A214" s="4">
        <v>95</v>
      </c>
      <c r="B214" s="4">
        <v>2</v>
      </c>
      <c r="C214" s="4">
        <v>5</v>
      </c>
      <c r="D214" s="4">
        <v>6</v>
      </c>
      <c r="E214" s="4">
        <v>7</v>
      </c>
      <c r="F214" s="4">
        <v>6</v>
      </c>
      <c r="G214" s="4">
        <v>4</v>
      </c>
      <c r="H214" s="4">
        <v>6</v>
      </c>
      <c r="I214" s="4">
        <v>3</v>
      </c>
      <c r="J214" s="4">
        <v>6</v>
      </c>
      <c r="K214" s="4">
        <v>3</v>
      </c>
      <c r="L214" s="4">
        <v>6</v>
      </c>
      <c r="M214" s="4">
        <v>5</v>
      </c>
      <c r="N214" s="4">
        <v>5</v>
      </c>
    </row>
    <row r="215" spans="1:14" x14ac:dyDescent="0.25">
      <c r="A215" s="4">
        <v>98</v>
      </c>
      <c r="B215" s="4">
        <v>2</v>
      </c>
      <c r="C215" s="4">
        <v>5</v>
      </c>
      <c r="D215" s="4">
        <v>6</v>
      </c>
      <c r="E215" s="4">
        <v>6</v>
      </c>
      <c r="F215" s="4">
        <v>6</v>
      </c>
      <c r="G215" s="4">
        <v>5</v>
      </c>
      <c r="H215" s="4">
        <v>6</v>
      </c>
      <c r="I215" s="4">
        <v>1</v>
      </c>
      <c r="J215" s="4">
        <v>4</v>
      </c>
      <c r="K215" s="4">
        <v>1</v>
      </c>
      <c r="L215" s="4">
        <v>4</v>
      </c>
      <c r="M215" s="4">
        <v>4</v>
      </c>
      <c r="N215" s="4">
        <v>3</v>
      </c>
    </row>
    <row r="216" spans="1:14" x14ac:dyDescent="0.25">
      <c r="A216" s="4">
        <v>99</v>
      </c>
      <c r="B216" s="4">
        <v>2</v>
      </c>
      <c r="C216" s="4">
        <v>6</v>
      </c>
      <c r="D216" s="4">
        <v>4</v>
      </c>
      <c r="E216" s="4">
        <v>7</v>
      </c>
      <c r="F216" s="4">
        <v>4</v>
      </c>
      <c r="G216" s="4">
        <v>6</v>
      </c>
      <c r="H216" s="4">
        <v>6</v>
      </c>
      <c r="I216" s="4">
        <v>1</v>
      </c>
      <c r="J216" s="4">
        <v>5</v>
      </c>
      <c r="K216" s="4">
        <v>1</v>
      </c>
      <c r="L216" s="4">
        <v>5</v>
      </c>
      <c r="M216" s="4">
        <v>5</v>
      </c>
      <c r="N216" s="4">
        <v>4</v>
      </c>
    </row>
    <row r="217" spans="1:14" x14ac:dyDescent="0.25">
      <c r="A217" s="4">
        <v>101</v>
      </c>
      <c r="B217" s="4">
        <v>2</v>
      </c>
      <c r="C217" s="4">
        <v>6</v>
      </c>
      <c r="D217" s="4">
        <v>5</v>
      </c>
      <c r="E217" s="4">
        <v>7</v>
      </c>
      <c r="F217" s="4">
        <v>5</v>
      </c>
      <c r="G217" s="4">
        <v>3</v>
      </c>
      <c r="H217" s="4">
        <v>7</v>
      </c>
      <c r="I217" s="4">
        <v>6</v>
      </c>
      <c r="J217" s="4">
        <v>5</v>
      </c>
      <c r="K217" s="4">
        <v>3</v>
      </c>
      <c r="L217" s="4">
        <v>5</v>
      </c>
      <c r="M217" s="4">
        <v>5</v>
      </c>
      <c r="N217" s="4">
        <v>4</v>
      </c>
    </row>
    <row r="218" spans="1:14" x14ac:dyDescent="0.25">
      <c r="A218" s="4">
        <v>103</v>
      </c>
      <c r="B218" s="4">
        <v>2</v>
      </c>
      <c r="C218" s="4">
        <v>4</v>
      </c>
      <c r="D218" s="4">
        <v>6</v>
      </c>
      <c r="E218" s="4">
        <v>7</v>
      </c>
      <c r="F218" s="4">
        <v>5</v>
      </c>
      <c r="G218" s="4">
        <v>6</v>
      </c>
      <c r="H218" s="4">
        <v>6</v>
      </c>
      <c r="I218" s="4">
        <v>1</v>
      </c>
      <c r="J218" s="4">
        <v>7</v>
      </c>
      <c r="K218" s="4">
        <v>1</v>
      </c>
      <c r="L218" s="4">
        <v>6</v>
      </c>
      <c r="M218" s="4">
        <v>5</v>
      </c>
      <c r="N218" s="4">
        <v>3</v>
      </c>
    </row>
    <row r="219" spans="1:14" x14ac:dyDescent="0.25">
      <c r="A219" s="4">
        <v>108</v>
      </c>
      <c r="B219" s="4">
        <v>2</v>
      </c>
      <c r="C219" s="4">
        <v>5</v>
      </c>
      <c r="D219" s="4">
        <v>3</v>
      </c>
      <c r="E219" s="4">
        <v>5</v>
      </c>
      <c r="F219" s="4">
        <v>3</v>
      </c>
      <c r="G219" s="4">
        <v>5</v>
      </c>
      <c r="H219" s="4">
        <v>5</v>
      </c>
      <c r="I219" s="4">
        <v>1</v>
      </c>
      <c r="J219" s="4">
        <v>4</v>
      </c>
      <c r="K219" s="4">
        <v>1</v>
      </c>
      <c r="L219" s="4">
        <v>4</v>
      </c>
      <c r="M219" s="4">
        <v>4</v>
      </c>
      <c r="N219" s="4">
        <v>4</v>
      </c>
    </row>
    <row r="220" spans="1:14" x14ac:dyDescent="0.25">
      <c r="A220" s="4">
        <v>109</v>
      </c>
      <c r="B220" s="4">
        <v>4</v>
      </c>
      <c r="C220" s="4">
        <v>6</v>
      </c>
      <c r="D220" s="4">
        <v>6</v>
      </c>
      <c r="E220" s="4">
        <v>5</v>
      </c>
      <c r="F220" s="4">
        <v>6</v>
      </c>
      <c r="G220" s="4">
        <v>6</v>
      </c>
      <c r="H220" s="4">
        <v>5</v>
      </c>
      <c r="I220" s="4">
        <v>3</v>
      </c>
      <c r="J220" s="4">
        <v>5</v>
      </c>
      <c r="K220" s="4">
        <v>7</v>
      </c>
      <c r="L220" s="4">
        <v>5</v>
      </c>
      <c r="M220" s="4">
        <v>5</v>
      </c>
      <c r="N220" s="4">
        <v>4</v>
      </c>
    </row>
    <row r="221" spans="1:14" x14ac:dyDescent="0.25">
      <c r="A221" s="4">
        <v>110</v>
      </c>
      <c r="B221" s="4">
        <v>2</v>
      </c>
      <c r="C221" s="4">
        <v>4</v>
      </c>
      <c r="D221" s="4">
        <v>4</v>
      </c>
      <c r="E221" s="4">
        <v>5</v>
      </c>
      <c r="F221" s="4">
        <v>4</v>
      </c>
      <c r="G221" s="4">
        <v>5</v>
      </c>
      <c r="H221" s="4">
        <v>5</v>
      </c>
      <c r="I221" s="4">
        <v>2</v>
      </c>
      <c r="J221" s="4">
        <v>5</v>
      </c>
      <c r="K221" s="4">
        <v>2</v>
      </c>
      <c r="L221" s="4">
        <v>3</v>
      </c>
      <c r="M221" s="4">
        <v>3</v>
      </c>
      <c r="N221" s="4">
        <v>3</v>
      </c>
    </row>
    <row r="222" spans="1:14" x14ac:dyDescent="0.25">
      <c r="A222" s="4">
        <v>113</v>
      </c>
      <c r="B222" s="4">
        <v>3</v>
      </c>
      <c r="C222" s="4">
        <v>5</v>
      </c>
      <c r="D222" s="4">
        <v>5</v>
      </c>
      <c r="E222" s="4">
        <v>4</v>
      </c>
      <c r="F222" s="4">
        <v>5</v>
      </c>
      <c r="G222" s="4">
        <v>5</v>
      </c>
      <c r="H222" s="4">
        <v>4</v>
      </c>
      <c r="I222" s="4">
        <v>3</v>
      </c>
      <c r="J222" s="4">
        <v>4</v>
      </c>
      <c r="K222" s="4">
        <v>7</v>
      </c>
      <c r="L222" s="4">
        <v>4</v>
      </c>
      <c r="M222" s="4">
        <v>4</v>
      </c>
      <c r="N222" s="4">
        <v>3</v>
      </c>
    </row>
    <row r="223" spans="1:14" x14ac:dyDescent="0.25">
      <c r="A223" s="4">
        <v>114</v>
      </c>
      <c r="B223" s="4">
        <v>2</v>
      </c>
      <c r="C223" s="4">
        <v>5</v>
      </c>
      <c r="D223" s="4">
        <v>4</v>
      </c>
      <c r="E223" s="4">
        <v>5</v>
      </c>
      <c r="F223" s="4">
        <v>4</v>
      </c>
      <c r="G223" s="4">
        <v>5</v>
      </c>
      <c r="H223" s="4">
        <v>5</v>
      </c>
      <c r="I223" s="4">
        <v>3</v>
      </c>
      <c r="J223" s="4">
        <v>5</v>
      </c>
      <c r="K223" s="4">
        <v>3</v>
      </c>
      <c r="L223" s="4">
        <v>4</v>
      </c>
      <c r="M223" s="4">
        <v>5</v>
      </c>
      <c r="N223" s="4">
        <v>5</v>
      </c>
    </row>
    <row r="224" spans="1:14" x14ac:dyDescent="0.25">
      <c r="A224" s="4">
        <v>115</v>
      </c>
      <c r="B224" s="4">
        <v>4</v>
      </c>
      <c r="C224" s="4">
        <v>5</v>
      </c>
      <c r="D224" s="4">
        <v>3</v>
      </c>
      <c r="E224" s="4">
        <v>4</v>
      </c>
      <c r="F224" s="4">
        <v>3</v>
      </c>
      <c r="G224" s="4">
        <v>6</v>
      </c>
      <c r="H224" s="4">
        <v>4</v>
      </c>
      <c r="I224" s="4">
        <v>2</v>
      </c>
      <c r="J224" s="4">
        <v>4</v>
      </c>
      <c r="K224" s="4">
        <v>7</v>
      </c>
      <c r="L224" s="4">
        <v>4</v>
      </c>
      <c r="M224" s="4">
        <v>3</v>
      </c>
      <c r="N224" s="4">
        <v>2</v>
      </c>
    </row>
    <row r="225" spans="1:14" x14ac:dyDescent="0.25">
      <c r="A225" s="4">
        <v>116</v>
      </c>
      <c r="B225" s="4">
        <v>4</v>
      </c>
      <c r="C225" s="4">
        <v>5</v>
      </c>
      <c r="D225" s="4">
        <v>6</v>
      </c>
      <c r="E225" s="4">
        <v>7</v>
      </c>
      <c r="F225" s="4">
        <v>6</v>
      </c>
      <c r="G225" s="4">
        <v>7</v>
      </c>
      <c r="H225" s="4">
        <v>5</v>
      </c>
      <c r="I225" s="4">
        <v>6</v>
      </c>
      <c r="J225" s="4">
        <v>5</v>
      </c>
      <c r="K225" s="4">
        <v>4</v>
      </c>
      <c r="L225" s="4">
        <v>6</v>
      </c>
      <c r="M225" s="4">
        <v>5</v>
      </c>
      <c r="N225" s="4">
        <v>5</v>
      </c>
    </row>
    <row r="226" spans="1:14" x14ac:dyDescent="0.25">
      <c r="A226" s="4">
        <v>117</v>
      </c>
      <c r="B226" s="4">
        <v>4</v>
      </c>
      <c r="C226" s="4">
        <v>5</v>
      </c>
      <c r="D226" s="4">
        <v>5</v>
      </c>
      <c r="E226" s="4">
        <v>4</v>
      </c>
      <c r="F226" s="4">
        <v>4</v>
      </c>
      <c r="G226" s="4">
        <v>5</v>
      </c>
      <c r="H226" s="4">
        <v>4</v>
      </c>
      <c r="I226" s="4">
        <v>3</v>
      </c>
      <c r="J226" s="4">
        <v>4</v>
      </c>
      <c r="K226" s="4">
        <v>7</v>
      </c>
      <c r="L226" s="4">
        <v>4</v>
      </c>
      <c r="M226" s="4">
        <v>4</v>
      </c>
      <c r="N226" s="4">
        <v>3</v>
      </c>
    </row>
    <row r="227" spans="1:14" x14ac:dyDescent="0.25">
      <c r="A227" s="4">
        <v>119</v>
      </c>
      <c r="B227" s="4">
        <v>3</v>
      </c>
      <c r="C227" s="4">
        <v>5</v>
      </c>
      <c r="D227" s="4">
        <v>5</v>
      </c>
      <c r="E227" s="4">
        <v>4</v>
      </c>
      <c r="F227" s="4">
        <v>5</v>
      </c>
      <c r="G227" s="4">
        <v>5</v>
      </c>
      <c r="H227" s="4">
        <v>4</v>
      </c>
      <c r="I227" s="4">
        <v>2</v>
      </c>
      <c r="J227" s="4">
        <v>4</v>
      </c>
      <c r="K227" s="4">
        <v>2</v>
      </c>
      <c r="L227" s="4">
        <v>4</v>
      </c>
      <c r="M227" s="4">
        <v>4</v>
      </c>
      <c r="N227" s="4">
        <v>3</v>
      </c>
    </row>
    <row r="228" spans="1:14" x14ac:dyDescent="0.25">
      <c r="A228" s="4">
        <v>120</v>
      </c>
      <c r="B228" s="4">
        <v>4</v>
      </c>
      <c r="C228" s="4">
        <v>6</v>
      </c>
      <c r="D228" s="4">
        <v>6</v>
      </c>
      <c r="E228" s="4">
        <v>5</v>
      </c>
      <c r="F228" s="4">
        <v>6</v>
      </c>
      <c r="G228" s="4">
        <v>6</v>
      </c>
      <c r="H228" s="4">
        <v>5</v>
      </c>
      <c r="I228" s="4">
        <v>3</v>
      </c>
      <c r="J228" s="4">
        <v>4</v>
      </c>
      <c r="K228" s="4">
        <v>7</v>
      </c>
      <c r="L228" s="4">
        <v>5</v>
      </c>
      <c r="M228" s="4">
        <v>5</v>
      </c>
      <c r="N228" s="4">
        <v>4</v>
      </c>
    </row>
    <row r="229" spans="1:14" x14ac:dyDescent="0.25">
      <c r="A229" s="4">
        <v>121</v>
      </c>
      <c r="B229" s="4">
        <v>2</v>
      </c>
      <c r="C229" s="4">
        <v>5</v>
      </c>
      <c r="D229" s="4">
        <v>6</v>
      </c>
      <c r="E229" s="4">
        <v>4</v>
      </c>
      <c r="F229" s="4">
        <v>5</v>
      </c>
      <c r="G229" s="4">
        <v>4</v>
      </c>
      <c r="H229" s="4">
        <v>3</v>
      </c>
      <c r="I229" s="4">
        <v>1</v>
      </c>
      <c r="J229" s="4">
        <v>2</v>
      </c>
      <c r="K229" s="4">
        <v>1</v>
      </c>
      <c r="L229" s="4">
        <v>3</v>
      </c>
      <c r="M229" s="4">
        <v>2</v>
      </c>
      <c r="N229" s="4">
        <v>2</v>
      </c>
    </row>
    <row r="230" spans="1:14" x14ac:dyDescent="0.25">
      <c r="A230" s="4">
        <v>124</v>
      </c>
      <c r="B230" s="4">
        <v>4</v>
      </c>
      <c r="C230" s="4">
        <v>5</v>
      </c>
      <c r="D230" s="4">
        <v>6</v>
      </c>
      <c r="E230" s="4">
        <v>7</v>
      </c>
      <c r="F230" s="4">
        <v>5</v>
      </c>
      <c r="G230" s="4">
        <v>6</v>
      </c>
      <c r="H230" s="4">
        <v>5</v>
      </c>
      <c r="I230" s="4">
        <v>3</v>
      </c>
      <c r="J230" s="4">
        <v>5</v>
      </c>
      <c r="K230" s="4">
        <v>7</v>
      </c>
      <c r="L230" s="4">
        <v>6</v>
      </c>
      <c r="M230" s="4">
        <v>5</v>
      </c>
      <c r="N230" s="4">
        <v>4</v>
      </c>
    </row>
    <row r="231" spans="1:14" x14ac:dyDescent="0.25">
      <c r="A231" s="4">
        <v>125</v>
      </c>
      <c r="B231" s="4">
        <v>2</v>
      </c>
      <c r="C231" s="4">
        <v>5</v>
      </c>
      <c r="D231" s="4">
        <v>6</v>
      </c>
      <c r="E231" s="4">
        <v>7</v>
      </c>
      <c r="F231" s="4">
        <v>6</v>
      </c>
      <c r="G231" s="4">
        <v>6</v>
      </c>
      <c r="H231" s="4">
        <v>6</v>
      </c>
      <c r="I231" s="4">
        <v>2</v>
      </c>
      <c r="J231" s="4">
        <v>6</v>
      </c>
      <c r="K231" s="4">
        <v>2</v>
      </c>
      <c r="L231" s="4">
        <v>6</v>
      </c>
      <c r="M231" s="4">
        <v>5</v>
      </c>
      <c r="N231" s="4">
        <v>5</v>
      </c>
    </row>
    <row r="232" spans="1:14" x14ac:dyDescent="0.25">
      <c r="A232" s="4">
        <v>128</v>
      </c>
      <c r="B232" s="4">
        <v>2</v>
      </c>
      <c r="C232" s="4">
        <v>5</v>
      </c>
      <c r="D232" s="4">
        <v>3</v>
      </c>
      <c r="E232" s="4">
        <v>7</v>
      </c>
      <c r="F232" s="4">
        <v>3</v>
      </c>
      <c r="G232" s="4">
        <v>5</v>
      </c>
      <c r="H232" s="4">
        <v>7</v>
      </c>
      <c r="I232" s="4">
        <v>3</v>
      </c>
      <c r="J232" s="4">
        <v>6</v>
      </c>
      <c r="K232" s="4">
        <v>3</v>
      </c>
      <c r="L232" s="4">
        <v>4</v>
      </c>
      <c r="M232" s="4">
        <v>4</v>
      </c>
      <c r="N232" s="4">
        <v>4</v>
      </c>
    </row>
    <row r="233" spans="1:14" x14ac:dyDescent="0.25">
      <c r="A233" s="4">
        <v>129</v>
      </c>
      <c r="B233" s="4">
        <v>1</v>
      </c>
      <c r="C233" s="4">
        <v>4</v>
      </c>
      <c r="D233" s="4">
        <v>6</v>
      </c>
      <c r="E233" s="4">
        <v>5</v>
      </c>
      <c r="F233" s="4">
        <v>6</v>
      </c>
      <c r="G233" s="4">
        <v>4</v>
      </c>
      <c r="H233" s="4">
        <v>4</v>
      </c>
      <c r="I233" s="4">
        <v>1</v>
      </c>
      <c r="J233" s="4">
        <v>3</v>
      </c>
      <c r="K233" s="4">
        <v>1</v>
      </c>
      <c r="L233" s="4">
        <v>4</v>
      </c>
      <c r="M233" s="4">
        <v>4</v>
      </c>
      <c r="N233" s="4">
        <v>3</v>
      </c>
    </row>
    <row r="234" spans="1:14" x14ac:dyDescent="0.25">
      <c r="A234" s="4">
        <v>130</v>
      </c>
      <c r="B234" s="4">
        <v>4</v>
      </c>
      <c r="C234" s="4">
        <v>5</v>
      </c>
      <c r="D234" s="4">
        <v>6</v>
      </c>
      <c r="E234" s="4">
        <v>5</v>
      </c>
      <c r="F234" s="4">
        <v>6</v>
      </c>
      <c r="G234" s="4">
        <v>5</v>
      </c>
      <c r="H234" s="4">
        <v>5</v>
      </c>
      <c r="I234" s="4">
        <v>3</v>
      </c>
      <c r="J234" s="4">
        <v>5</v>
      </c>
      <c r="K234" s="4">
        <v>7</v>
      </c>
      <c r="L234" s="4">
        <v>5</v>
      </c>
      <c r="M234" s="4">
        <v>4</v>
      </c>
      <c r="N234" s="4">
        <v>4</v>
      </c>
    </row>
    <row r="235" spans="1:14" x14ac:dyDescent="0.25">
      <c r="A235" s="4">
        <v>131</v>
      </c>
      <c r="B235" s="4">
        <v>2</v>
      </c>
      <c r="C235" s="4">
        <v>4</v>
      </c>
      <c r="D235" s="4">
        <v>4</v>
      </c>
      <c r="E235" s="4">
        <v>6</v>
      </c>
      <c r="F235" s="4">
        <v>4</v>
      </c>
      <c r="G235" s="4">
        <v>4</v>
      </c>
      <c r="H235" s="4">
        <v>6</v>
      </c>
      <c r="I235" s="4">
        <v>2</v>
      </c>
      <c r="J235" s="4">
        <v>5</v>
      </c>
      <c r="K235" s="4">
        <v>2</v>
      </c>
      <c r="L235" s="4">
        <v>3</v>
      </c>
      <c r="M235" s="4">
        <v>3</v>
      </c>
      <c r="N235" s="4">
        <v>3</v>
      </c>
    </row>
    <row r="236" spans="1:14" x14ac:dyDescent="0.25">
      <c r="A236" s="4">
        <v>134</v>
      </c>
      <c r="B236" s="4">
        <v>4</v>
      </c>
      <c r="C236" s="4">
        <v>4</v>
      </c>
      <c r="D236" s="4">
        <v>5</v>
      </c>
      <c r="E236" s="4">
        <v>4</v>
      </c>
      <c r="F236" s="4">
        <v>5</v>
      </c>
      <c r="G236" s="4">
        <v>4</v>
      </c>
      <c r="H236" s="4">
        <v>4</v>
      </c>
      <c r="I236" s="4">
        <v>3</v>
      </c>
      <c r="J236" s="4">
        <v>4</v>
      </c>
      <c r="K236" s="4">
        <v>7</v>
      </c>
      <c r="L236" s="4">
        <v>4</v>
      </c>
      <c r="M236" s="4">
        <v>4</v>
      </c>
      <c r="N236" s="4">
        <v>3</v>
      </c>
    </row>
    <row r="237" spans="1:14" x14ac:dyDescent="0.25">
      <c r="A237" s="4">
        <v>137</v>
      </c>
      <c r="B237" s="4">
        <v>2</v>
      </c>
      <c r="C237" s="4">
        <v>5</v>
      </c>
      <c r="D237" s="4">
        <v>4</v>
      </c>
      <c r="E237" s="4">
        <v>5</v>
      </c>
      <c r="F237" s="4">
        <v>4</v>
      </c>
      <c r="G237" s="4">
        <v>5</v>
      </c>
      <c r="H237" s="4">
        <v>5</v>
      </c>
      <c r="I237" s="4">
        <v>2</v>
      </c>
      <c r="J237" s="4">
        <v>5</v>
      </c>
      <c r="K237" s="4">
        <v>2</v>
      </c>
      <c r="L237" s="4">
        <v>4</v>
      </c>
      <c r="M237" s="4">
        <v>5</v>
      </c>
      <c r="N237" s="4">
        <v>4</v>
      </c>
    </row>
    <row r="238" spans="1:14" x14ac:dyDescent="0.25">
      <c r="A238" s="4">
        <v>138</v>
      </c>
      <c r="B238" s="4">
        <v>4</v>
      </c>
      <c r="C238" s="4">
        <v>4</v>
      </c>
      <c r="D238" s="4">
        <v>3</v>
      </c>
      <c r="E238" s="4">
        <v>4</v>
      </c>
      <c r="F238" s="4">
        <v>3</v>
      </c>
      <c r="G238" s="4">
        <v>4</v>
      </c>
      <c r="H238" s="4">
        <v>4</v>
      </c>
      <c r="I238" s="4">
        <v>2</v>
      </c>
      <c r="J238" s="4">
        <v>4</v>
      </c>
      <c r="K238" s="4">
        <v>7</v>
      </c>
      <c r="L238" s="4">
        <v>4</v>
      </c>
      <c r="M238" s="4">
        <v>3</v>
      </c>
      <c r="N238" s="4">
        <v>2</v>
      </c>
    </row>
    <row r="239" spans="1:14" x14ac:dyDescent="0.25">
      <c r="A239" s="4">
        <v>139</v>
      </c>
      <c r="B239" s="4">
        <v>3</v>
      </c>
      <c r="C239" s="4">
        <v>3</v>
      </c>
      <c r="D239" s="4">
        <v>2</v>
      </c>
      <c r="E239" s="4">
        <v>4</v>
      </c>
      <c r="F239" s="4">
        <v>2</v>
      </c>
      <c r="G239" s="4">
        <v>3</v>
      </c>
      <c r="H239" s="4">
        <v>4</v>
      </c>
      <c r="I239" s="4">
        <v>3</v>
      </c>
      <c r="J239" s="4">
        <v>4</v>
      </c>
      <c r="K239" s="4">
        <v>7</v>
      </c>
      <c r="L239" s="4">
        <v>6</v>
      </c>
      <c r="M239" s="4">
        <v>6</v>
      </c>
      <c r="N239" s="4">
        <v>6</v>
      </c>
    </row>
    <row r="240" spans="1:14" x14ac:dyDescent="0.25">
      <c r="A240" s="4">
        <v>140</v>
      </c>
      <c r="B240" s="4">
        <v>4</v>
      </c>
      <c r="C240" s="4">
        <v>5</v>
      </c>
      <c r="D240" s="4">
        <v>6</v>
      </c>
      <c r="E240" s="4">
        <v>7</v>
      </c>
      <c r="F240" s="4">
        <v>6</v>
      </c>
      <c r="G240" s="4">
        <v>5</v>
      </c>
      <c r="H240" s="4">
        <v>5</v>
      </c>
      <c r="I240" s="4">
        <v>6</v>
      </c>
      <c r="J240" s="4">
        <v>5</v>
      </c>
      <c r="K240" s="4">
        <v>4</v>
      </c>
      <c r="L240" s="4">
        <v>6</v>
      </c>
      <c r="M240" s="4">
        <v>5</v>
      </c>
      <c r="N240" s="4">
        <v>5</v>
      </c>
    </row>
    <row r="241" spans="1:14" x14ac:dyDescent="0.25">
      <c r="A241" s="4">
        <v>142</v>
      </c>
      <c r="B241" s="4">
        <v>4</v>
      </c>
      <c r="C241" s="4">
        <v>5</v>
      </c>
      <c r="D241" s="4">
        <v>6</v>
      </c>
      <c r="E241" s="4">
        <v>5</v>
      </c>
      <c r="F241" s="4">
        <v>5</v>
      </c>
      <c r="G241" s="4">
        <v>5</v>
      </c>
      <c r="H241" s="4">
        <v>5</v>
      </c>
      <c r="I241" s="4">
        <v>6</v>
      </c>
      <c r="J241" s="4">
        <v>5</v>
      </c>
      <c r="K241" s="4">
        <v>6</v>
      </c>
      <c r="L241" s="4">
        <v>5</v>
      </c>
      <c r="M241" s="4">
        <v>4</v>
      </c>
      <c r="N241" s="4">
        <v>4</v>
      </c>
    </row>
    <row r="242" spans="1:14" x14ac:dyDescent="0.25">
      <c r="A242" s="4">
        <v>143</v>
      </c>
      <c r="B242" s="4">
        <v>3</v>
      </c>
      <c r="C242" s="4">
        <v>5</v>
      </c>
      <c r="D242" s="4">
        <v>6</v>
      </c>
      <c r="E242" s="4">
        <v>4</v>
      </c>
      <c r="F242" s="4">
        <v>6</v>
      </c>
      <c r="G242" s="4">
        <v>5</v>
      </c>
      <c r="H242" s="4">
        <v>5</v>
      </c>
      <c r="I242" s="4">
        <v>3</v>
      </c>
      <c r="J242" s="4">
        <v>4</v>
      </c>
      <c r="K242" s="4">
        <v>3</v>
      </c>
      <c r="L242" s="4">
        <v>6</v>
      </c>
      <c r="M242" s="4">
        <v>6</v>
      </c>
      <c r="N242" s="4">
        <v>6</v>
      </c>
    </row>
    <row r="243" spans="1:14" x14ac:dyDescent="0.25">
      <c r="A243" s="4">
        <v>144</v>
      </c>
      <c r="B243" s="4">
        <v>4</v>
      </c>
      <c r="C243" s="4">
        <v>5</v>
      </c>
      <c r="D243" s="4">
        <v>5</v>
      </c>
      <c r="E243" s="4">
        <v>4</v>
      </c>
      <c r="F243" s="4">
        <v>4</v>
      </c>
      <c r="G243" s="4">
        <v>5</v>
      </c>
      <c r="H243" s="4">
        <v>4</v>
      </c>
      <c r="I243" s="4">
        <v>3</v>
      </c>
      <c r="J243" s="4">
        <v>4</v>
      </c>
      <c r="K243" s="4">
        <v>7</v>
      </c>
      <c r="L243" s="4">
        <v>4</v>
      </c>
      <c r="M243" s="4">
        <v>4</v>
      </c>
      <c r="N243" s="4">
        <v>3</v>
      </c>
    </row>
    <row r="244" spans="1:14" x14ac:dyDescent="0.25">
      <c r="A244" s="4">
        <v>145</v>
      </c>
      <c r="B244" s="4">
        <v>2</v>
      </c>
      <c r="C244" s="4">
        <v>4</v>
      </c>
      <c r="D244" s="4">
        <v>2</v>
      </c>
      <c r="E244" s="4">
        <v>5</v>
      </c>
      <c r="F244" s="4">
        <v>2</v>
      </c>
      <c r="G244" s="4">
        <v>6</v>
      </c>
      <c r="H244" s="4">
        <v>4</v>
      </c>
      <c r="I244" s="4">
        <v>2</v>
      </c>
      <c r="J244" s="4">
        <v>5</v>
      </c>
      <c r="K244" s="4">
        <v>2</v>
      </c>
      <c r="L244" s="4">
        <v>3</v>
      </c>
      <c r="M244" s="4">
        <v>3</v>
      </c>
      <c r="N244" s="4">
        <v>2</v>
      </c>
    </row>
    <row r="245" spans="1:14" x14ac:dyDescent="0.25">
      <c r="A245" s="4">
        <v>147</v>
      </c>
      <c r="B245" s="4">
        <v>3</v>
      </c>
      <c r="C245" s="4">
        <v>4</v>
      </c>
      <c r="D245" s="4">
        <v>5</v>
      </c>
      <c r="E245" s="4">
        <v>4</v>
      </c>
      <c r="F245" s="4">
        <v>5</v>
      </c>
      <c r="G245" s="4">
        <v>5</v>
      </c>
      <c r="H245" s="4">
        <v>4</v>
      </c>
      <c r="I245" s="4">
        <v>2</v>
      </c>
      <c r="J245" s="4">
        <v>4</v>
      </c>
      <c r="K245" s="4">
        <v>2</v>
      </c>
      <c r="L245" s="4">
        <v>4</v>
      </c>
      <c r="M245" s="4">
        <v>4</v>
      </c>
      <c r="N245" s="4">
        <v>3</v>
      </c>
    </row>
    <row r="246" spans="1:14" x14ac:dyDescent="0.25">
      <c r="A246" s="4">
        <v>148</v>
      </c>
      <c r="B246" s="4">
        <v>3</v>
      </c>
      <c r="C246" s="4">
        <v>4</v>
      </c>
      <c r="D246" s="4">
        <v>2</v>
      </c>
      <c r="E246" s="4">
        <v>4</v>
      </c>
      <c r="F246" s="4">
        <v>2</v>
      </c>
      <c r="G246" s="4">
        <v>3</v>
      </c>
      <c r="H246" s="4">
        <v>4</v>
      </c>
      <c r="I246" s="4">
        <v>2</v>
      </c>
      <c r="J246" s="4">
        <v>3</v>
      </c>
      <c r="K246" s="4">
        <v>2</v>
      </c>
      <c r="L246" s="4">
        <v>4</v>
      </c>
      <c r="M246" s="4">
        <v>3</v>
      </c>
      <c r="N246" s="4">
        <v>3</v>
      </c>
    </row>
    <row r="247" spans="1:14" x14ac:dyDescent="0.25">
      <c r="A247" s="4">
        <v>149</v>
      </c>
      <c r="B247" s="4">
        <v>4</v>
      </c>
      <c r="C247" s="4">
        <v>6</v>
      </c>
      <c r="D247" s="4">
        <v>6</v>
      </c>
      <c r="E247" s="4">
        <v>5</v>
      </c>
      <c r="F247" s="4">
        <v>6</v>
      </c>
      <c r="G247" s="4">
        <v>6</v>
      </c>
      <c r="H247" s="4">
        <v>5</v>
      </c>
      <c r="I247" s="4">
        <v>6</v>
      </c>
      <c r="J247" s="4">
        <v>3</v>
      </c>
      <c r="K247" s="4">
        <v>7</v>
      </c>
      <c r="L247" s="4">
        <v>5</v>
      </c>
      <c r="M247" s="4">
        <v>5</v>
      </c>
      <c r="N247" s="4">
        <v>4</v>
      </c>
    </row>
    <row r="248" spans="1:14" x14ac:dyDescent="0.25">
      <c r="A248" s="4">
        <v>150</v>
      </c>
      <c r="B248" s="4">
        <v>2</v>
      </c>
      <c r="C248" s="4">
        <v>5</v>
      </c>
      <c r="D248" s="4">
        <v>6</v>
      </c>
      <c r="E248" s="4">
        <v>4</v>
      </c>
      <c r="F248" s="4">
        <v>5</v>
      </c>
      <c r="G248" s="4">
        <v>5</v>
      </c>
      <c r="H248" s="4">
        <v>3</v>
      </c>
      <c r="I248" s="4">
        <v>1</v>
      </c>
      <c r="J248" s="4">
        <v>2</v>
      </c>
      <c r="K248" s="4">
        <v>1</v>
      </c>
      <c r="L248" s="4">
        <v>3</v>
      </c>
      <c r="M248" s="4">
        <v>3</v>
      </c>
      <c r="N248" s="4">
        <v>3</v>
      </c>
    </row>
    <row r="249" spans="1:14" x14ac:dyDescent="0.25">
      <c r="A249" s="4">
        <v>151</v>
      </c>
      <c r="B249" s="4">
        <v>3</v>
      </c>
      <c r="C249" s="4">
        <v>5</v>
      </c>
      <c r="D249" s="4">
        <v>2</v>
      </c>
      <c r="E249" s="4">
        <v>5</v>
      </c>
      <c r="F249" s="4">
        <v>2</v>
      </c>
      <c r="G249" s="4">
        <v>5</v>
      </c>
      <c r="H249" s="4">
        <v>5</v>
      </c>
      <c r="I249" s="4">
        <v>2</v>
      </c>
      <c r="J249" s="4">
        <v>4</v>
      </c>
      <c r="K249" s="4">
        <v>2</v>
      </c>
      <c r="L249" s="4">
        <v>4</v>
      </c>
      <c r="M249" s="4">
        <v>4</v>
      </c>
      <c r="N249" s="4">
        <v>3</v>
      </c>
    </row>
    <row r="250" spans="1:14" x14ac:dyDescent="0.25">
      <c r="A250" s="4">
        <v>155</v>
      </c>
      <c r="B250" s="4">
        <v>4</v>
      </c>
      <c r="C250" s="4">
        <v>5</v>
      </c>
      <c r="D250" s="4">
        <v>6</v>
      </c>
      <c r="E250" s="4">
        <v>6</v>
      </c>
      <c r="F250" s="4">
        <v>6</v>
      </c>
      <c r="G250" s="4">
        <v>4</v>
      </c>
      <c r="H250" s="4">
        <v>4</v>
      </c>
      <c r="I250" s="4">
        <v>3</v>
      </c>
      <c r="J250" s="4">
        <v>4</v>
      </c>
      <c r="K250" s="4">
        <v>7</v>
      </c>
      <c r="L250" s="4">
        <v>7</v>
      </c>
      <c r="M250" s="4">
        <v>6</v>
      </c>
      <c r="N250" s="4">
        <v>6</v>
      </c>
    </row>
    <row r="251" spans="1:14" x14ac:dyDescent="0.25">
      <c r="A251" s="4">
        <v>156</v>
      </c>
      <c r="B251" s="4">
        <v>2</v>
      </c>
      <c r="C251" s="4">
        <v>4</v>
      </c>
      <c r="D251" s="4">
        <v>2</v>
      </c>
      <c r="E251" s="4">
        <v>5</v>
      </c>
      <c r="F251" s="4">
        <v>2</v>
      </c>
      <c r="G251" s="4">
        <v>4</v>
      </c>
      <c r="H251" s="4">
        <v>5</v>
      </c>
      <c r="I251" s="4">
        <v>1</v>
      </c>
      <c r="J251" s="4">
        <v>5</v>
      </c>
      <c r="K251" s="4">
        <v>1</v>
      </c>
      <c r="L251" s="4">
        <v>5</v>
      </c>
      <c r="M251" s="4">
        <v>4</v>
      </c>
      <c r="N251" s="4">
        <v>4</v>
      </c>
    </row>
    <row r="252" spans="1:14" x14ac:dyDescent="0.25">
      <c r="A252" s="4">
        <v>157</v>
      </c>
      <c r="B252" s="4">
        <v>4</v>
      </c>
      <c r="C252" s="4">
        <v>5</v>
      </c>
      <c r="D252" s="4">
        <v>6</v>
      </c>
      <c r="E252" s="4">
        <v>7</v>
      </c>
      <c r="F252" s="4">
        <v>5</v>
      </c>
      <c r="G252" s="4">
        <v>4</v>
      </c>
      <c r="H252" s="4">
        <v>5</v>
      </c>
      <c r="I252" s="4">
        <v>3</v>
      </c>
      <c r="J252" s="4">
        <v>5</v>
      </c>
      <c r="K252" s="4">
        <v>7</v>
      </c>
      <c r="L252" s="4">
        <v>6</v>
      </c>
      <c r="M252" s="4">
        <v>4</v>
      </c>
      <c r="N252" s="4">
        <v>4</v>
      </c>
    </row>
    <row r="253" spans="1:14" x14ac:dyDescent="0.25">
      <c r="A253" s="4">
        <v>158</v>
      </c>
      <c r="B253" s="4">
        <v>2</v>
      </c>
      <c r="C253" s="4">
        <v>5</v>
      </c>
      <c r="D253" s="4">
        <v>6</v>
      </c>
      <c r="E253" s="4">
        <v>7</v>
      </c>
      <c r="F253" s="4">
        <v>6</v>
      </c>
      <c r="G253" s="4">
        <v>4</v>
      </c>
      <c r="H253" s="4">
        <v>6</v>
      </c>
      <c r="I253" s="4">
        <v>2</v>
      </c>
      <c r="J253" s="4">
        <v>6</v>
      </c>
      <c r="K253" s="4">
        <v>2</v>
      </c>
      <c r="L253" s="4">
        <v>6</v>
      </c>
      <c r="M253" s="4">
        <v>5</v>
      </c>
      <c r="N253" s="4">
        <v>5</v>
      </c>
    </row>
    <row r="254" spans="1:14" x14ac:dyDescent="0.25">
      <c r="A254" s="4">
        <v>161</v>
      </c>
      <c r="B254" s="4">
        <v>2</v>
      </c>
      <c r="C254" s="4">
        <v>5</v>
      </c>
      <c r="D254" s="4">
        <v>6</v>
      </c>
      <c r="E254" s="4">
        <v>6</v>
      </c>
      <c r="F254" s="4">
        <v>6</v>
      </c>
      <c r="G254" s="4">
        <v>5</v>
      </c>
      <c r="H254" s="4">
        <v>6</v>
      </c>
      <c r="I254" s="4">
        <v>1</v>
      </c>
      <c r="J254" s="4">
        <v>4</v>
      </c>
      <c r="K254" s="4">
        <v>1</v>
      </c>
      <c r="L254" s="4">
        <v>4</v>
      </c>
      <c r="M254" s="4">
        <v>4</v>
      </c>
      <c r="N254" s="4">
        <v>3</v>
      </c>
    </row>
    <row r="255" spans="1:14" x14ac:dyDescent="0.25">
      <c r="A255" s="4">
        <v>162</v>
      </c>
      <c r="B255" s="4">
        <v>2</v>
      </c>
      <c r="C255" s="4">
        <v>6</v>
      </c>
      <c r="D255" s="4">
        <v>4</v>
      </c>
      <c r="E255" s="4">
        <v>7</v>
      </c>
      <c r="F255" s="4">
        <v>4</v>
      </c>
      <c r="G255" s="4">
        <v>6</v>
      </c>
      <c r="H255" s="4">
        <v>6</v>
      </c>
      <c r="I255" s="4">
        <v>2</v>
      </c>
      <c r="J255" s="4">
        <v>5</v>
      </c>
      <c r="K255" s="4">
        <v>2</v>
      </c>
      <c r="L255" s="4">
        <v>5</v>
      </c>
      <c r="M255" s="4">
        <v>5</v>
      </c>
      <c r="N255" s="4">
        <v>4</v>
      </c>
    </row>
    <row r="256" spans="1:14" x14ac:dyDescent="0.25">
      <c r="A256" s="4">
        <v>164</v>
      </c>
      <c r="B256" s="4">
        <v>2</v>
      </c>
      <c r="C256" s="4">
        <v>6</v>
      </c>
      <c r="D256" s="4">
        <v>5</v>
      </c>
      <c r="E256" s="4">
        <v>7</v>
      </c>
      <c r="F256" s="4">
        <v>5</v>
      </c>
      <c r="G256" s="4">
        <v>3</v>
      </c>
      <c r="H256" s="4">
        <v>6</v>
      </c>
      <c r="I256" s="4">
        <v>6</v>
      </c>
      <c r="J256" s="4">
        <v>5</v>
      </c>
      <c r="K256" s="4">
        <v>3</v>
      </c>
      <c r="L256" s="4">
        <v>5</v>
      </c>
      <c r="M256" s="4">
        <v>5</v>
      </c>
      <c r="N256" s="4">
        <v>4</v>
      </c>
    </row>
    <row r="257" spans="1:14" x14ac:dyDescent="0.25">
      <c r="A257" s="4">
        <v>166</v>
      </c>
      <c r="B257" s="4">
        <v>2</v>
      </c>
      <c r="C257" s="4">
        <v>4</v>
      </c>
      <c r="D257" s="4">
        <v>6</v>
      </c>
      <c r="E257" s="4">
        <v>7</v>
      </c>
      <c r="F257" s="4">
        <v>5</v>
      </c>
      <c r="G257" s="4">
        <v>6</v>
      </c>
      <c r="H257" s="4">
        <v>6</v>
      </c>
      <c r="I257" s="4">
        <v>2</v>
      </c>
      <c r="J257" s="4">
        <v>7</v>
      </c>
      <c r="K257" s="4">
        <v>2</v>
      </c>
      <c r="L257" s="4">
        <v>6</v>
      </c>
      <c r="M257" s="4">
        <v>5</v>
      </c>
      <c r="N257" s="4">
        <v>5</v>
      </c>
    </row>
    <row r="258" spans="1:14" x14ac:dyDescent="0.25">
      <c r="A258" s="4">
        <v>171</v>
      </c>
      <c r="B258" s="4">
        <v>2</v>
      </c>
      <c r="C258" s="4">
        <v>5</v>
      </c>
      <c r="D258" s="4">
        <v>3</v>
      </c>
      <c r="E258" s="4">
        <v>5</v>
      </c>
      <c r="F258" s="4">
        <v>3</v>
      </c>
      <c r="G258" s="4">
        <v>5</v>
      </c>
      <c r="H258" s="4">
        <v>5</v>
      </c>
      <c r="I258" s="4">
        <v>1</v>
      </c>
      <c r="J258" s="4">
        <v>4</v>
      </c>
      <c r="K258" s="4">
        <v>1</v>
      </c>
      <c r="L258" s="4">
        <v>4</v>
      </c>
      <c r="M258" s="4">
        <v>4</v>
      </c>
      <c r="N258" s="4">
        <v>4</v>
      </c>
    </row>
    <row r="259" spans="1:14" x14ac:dyDescent="0.25">
      <c r="A259" s="4">
        <v>172</v>
      </c>
      <c r="B259" s="4">
        <v>4</v>
      </c>
      <c r="C259" s="4">
        <v>6</v>
      </c>
      <c r="D259" s="4">
        <v>6</v>
      </c>
      <c r="E259" s="4">
        <v>5</v>
      </c>
      <c r="F259" s="4">
        <v>6</v>
      </c>
      <c r="G259" s="4">
        <v>6</v>
      </c>
      <c r="H259" s="4">
        <v>5</v>
      </c>
      <c r="I259" s="4">
        <v>3</v>
      </c>
      <c r="J259" s="4">
        <v>5</v>
      </c>
      <c r="K259" s="4">
        <v>7</v>
      </c>
      <c r="L259" s="4">
        <v>5</v>
      </c>
      <c r="M259" s="4">
        <v>5</v>
      </c>
      <c r="N259" s="4">
        <v>4</v>
      </c>
    </row>
    <row r="260" spans="1:14" x14ac:dyDescent="0.25">
      <c r="A260" s="4">
        <v>173</v>
      </c>
      <c r="B260" s="4">
        <v>2</v>
      </c>
      <c r="C260" s="4">
        <v>4</v>
      </c>
      <c r="D260" s="4">
        <v>4</v>
      </c>
      <c r="E260" s="4">
        <v>5</v>
      </c>
      <c r="F260" s="4">
        <v>4</v>
      </c>
      <c r="G260" s="4">
        <v>5</v>
      </c>
      <c r="H260" s="4">
        <v>5</v>
      </c>
      <c r="I260" s="4">
        <v>2</v>
      </c>
      <c r="J260" s="4">
        <v>5</v>
      </c>
      <c r="K260" s="4">
        <v>2</v>
      </c>
      <c r="L260" s="4">
        <v>3</v>
      </c>
      <c r="M260" s="4">
        <v>3</v>
      </c>
      <c r="N260" s="4">
        <v>3</v>
      </c>
    </row>
    <row r="261" spans="1:14" x14ac:dyDescent="0.25">
      <c r="A261" s="4">
        <v>176</v>
      </c>
      <c r="B261" s="4">
        <v>3</v>
      </c>
      <c r="C261" s="4">
        <v>5</v>
      </c>
      <c r="D261" s="4">
        <v>5</v>
      </c>
      <c r="E261" s="4">
        <v>4</v>
      </c>
      <c r="F261" s="4">
        <v>5</v>
      </c>
      <c r="G261" s="4">
        <v>5</v>
      </c>
      <c r="H261" s="4">
        <v>4</v>
      </c>
      <c r="I261" s="4">
        <v>3</v>
      </c>
      <c r="J261" s="4">
        <v>4</v>
      </c>
      <c r="K261" s="4">
        <v>7</v>
      </c>
      <c r="L261" s="4">
        <v>4</v>
      </c>
      <c r="M261" s="4">
        <v>4</v>
      </c>
      <c r="N261" s="4">
        <v>3</v>
      </c>
    </row>
    <row r="262" spans="1:14" x14ac:dyDescent="0.25">
      <c r="A262" s="4">
        <v>177</v>
      </c>
      <c r="B262" s="4">
        <v>2</v>
      </c>
      <c r="C262" s="4">
        <v>5</v>
      </c>
      <c r="D262" s="4">
        <v>4</v>
      </c>
      <c r="E262" s="4">
        <v>5</v>
      </c>
      <c r="F262" s="4">
        <v>4</v>
      </c>
      <c r="G262" s="4">
        <v>5</v>
      </c>
      <c r="H262" s="4">
        <v>5</v>
      </c>
      <c r="I262" s="4">
        <v>2</v>
      </c>
      <c r="J262" s="4">
        <v>5</v>
      </c>
      <c r="K262" s="4">
        <v>2</v>
      </c>
      <c r="L262" s="4">
        <v>4</v>
      </c>
      <c r="M262" s="4">
        <v>5</v>
      </c>
      <c r="N262" s="4">
        <v>5</v>
      </c>
    </row>
    <row r="263" spans="1:14" x14ac:dyDescent="0.25">
      <c r="A263" s="4">
        <v>178</v>
      </c>
      <c r="B263" s="4">
        <v>4</v>
      </c>
      <c r="C263" s="4">
        <v>5</v>
      </c>
      <c r="D263" s="4">
        <v>3</v>
      </c>
      <c r="E263" s="4">
        <v>4</v>
      </c>
      <c r="F263" s="4">
        <v>3</v>
      </c>
      <c r="G263" s="4">
        <v>6</v>
      </c>
      <c r="H263" s="4">
        <v>4</v>
      </c>
      <c r="I263" s="4">
        <v>2</v>
      </c>
      <c r="J263" s="4">
        <v>4</v>
      </c>
      <c r="K263" s="4">
        <v>7</v>
      </c>
      <c r="L263" s="4">
        <v>4</v>
      </c>
      <c r="M263" s="4">
        <v>3</v>
      </c>
      <c r="N263" s="4">
        <v>2</v>
      </c>
    </row>
    <row r="264" spans="1:14" x14ac:dyDescent="0.25">
      <c r="A264" s="4">
        <v>179</v>
      </c>
      <c r="B264" s="4">
        <v>4</v>
      </c>
      <c r="C264" s="4">
        <v>5</v>
      </c>
      <c r="D264" s="4">
        <v>6</v>
      </c>
      <c r="E264" s="4">
        <v>7</v>
      </c>
      <c r="F264" s="4">
        <v>6</v>
      </c>
      <c r="G264" s="4">
        <v>7</v>
      </c>
      <c r="H264" s="4">
        <v>5</v>
      </c>
      <c r="I264" s="4">
        <v>6</v>
      </c>
      <c r="J264" s="4">
        <v>5</v>
      </c>
      <c r="K264" s="4">
        <v>4</v>
      </c>
      <c r="L264" s="4">
        <v>6</v>
      </c>
      <c r="M264" s="4">
        <v>5</v>
      </c>
      <c r="N264" s="4">
        <v>5</v>
      </c>
    </row>
    <row r="265" spans="1:14" x14ac:dyDescent="0.25">
      <c r="A265" s="4">
        <v>180</v>
      </c>
      <c r="B265" s="4">
        <v>4</v>
      </c>
      <c r="C265" s="4">
        <v>5</v>
      </c>
      <c r="D265" s="4">
        <v>5</v>
      </c>
      <c r="E265" s="4">
        <v>4</v>
      </c>
      <c r="F265" s="4">
        <v>4</v>
      </c>
      <c r="G265" s="4">
        <v>5</v>
      </c>
      <c r="H265" s="4">
        <v>4</v>
      </c>
      <c r="I265" s="4">
        <v>4</v>
      </c>
      <c r="J265" s="4">
        <v>3</v>
      </c>
      <c r="K265" s="4">
        <v>7</v>
      </c>
      <c r="L265" s="4">
        <v>4</v>
      </c>
      <c r="M265" s="4">
        <v>4</v>
      </c>
      <c r="N265" s="4">
        <v>3</v>
      </c>
    </row>
    <row r="266" spans="1:14" x14ac:dyDescent="0.25">
      <c r="A266" s="4">
        <v>182</v>
      </c>
      <c r="B266" s="4">
        <v>3</v>
      </c>
      <c r="C266" s="4">
        <v>5</v>
      </c>
      <c r="D266" s="4">
        <v>5</v>
      </c>
      <c r="E266" s="4">
        <v>4</v>
      </c>
      <c r="F266" s="4">
        <v>5</v>
      </c>
      <c r="G266" s="4">
        <v>5</v>
      </c>
      <c r="H266" s="4">
        <v>4</v>
      </c>
      <c r="I266" s="4">
        <v>2</v>
      </c>
      <c r="J266" s="4">
        <v>4</v>
      </c>
      <c r="K266" s="4">
        <v>2</v>
      </c>
      <c r="L266" s="4">
        <v>4</v>
      </c>
      <c r="M266" s="4">
        <v>4</v>
      </c>
      <c r="N266" s="4">
        <v>3</v>
      </c>
    </row>
    <row r="267" spans="1:14" x14ac:dyDescent="0.25">
      <c r="A267" s="4">
        <v>183</v>
      </c>
      <c r="B267" s="4">
        <v>4</v>
      </c>
      <c r="C267" s="4">
        <v>6</v>
      </c>
      <c r="D267" s="4">
        <v>6</v>
      </c>
      <c r="E267" s="4">
        <v>5</v>
      </c>
      <c r="F267" s="4">
        <v>6</v>
      </c>
      <c r="G267" s="4">
        <v>6</v>
      </c>
      <c r="H267" s="4">
        <v>5</v>
      </c>
      <c r="I267" s="4">
        <v>4</v>
      </c>
      <c r="J267" s="4">
        <v>3</v>
      </c>
      <c r="K267" s="4">
        <v>7</v>
      </c>
      <c r="L267" s="4">
        <v>5</v>
      </c>
      <c r="M267" s="4">
        <v>5</v>
      </c>
      <c r="N267" s="4">
        <v>4</v>
      </c>
    </row>
    <row r="268" spans="1:14" x14ac:dyDescent="0.25">
      <c r="A268" s="4">
        <v>184</v>
      </c>
      <c r="B268" s="4">
        <v>2</v>
      </c>
      <c r="C268" s="4">
        <v>5</v>
      </c>
      <c r="D268" s="4">
        <v>6</v>
      </c>
      <c r="E268" s="4">
        <v>4</v>
      </c>
      <c r="F268" s="4">
        <v>5</v>
      </c>
      <c r="G268" s="4">
        <v>4</v>
      </c>
      <c r="H268" s="4">
        <v>3</v>
      </c>
      <c r="I268" s="4">
        <v>1</v>
      </c>
      <c r="J268" s="4">
        <v>2</v>
      </c>
      <c r="K268" s="4">
        <v>1</v>
      </c>
      <c r="L268" s="4">
        <v>3</v>
      </c>
      <c r="M268" s="4">
        <v>2</v>
      </c>
      <c r="N268" s="4">
        <v>2</v>
      </c>
    </row>
    <row r="269" spans="1:14" x14ac:dyDescent="0.25">
      <c r="A269" s="4">
        <v>187</v>
      </c>
      <c r="B269" s="4">
        <v>4</v>
      </c>
      <c r="C269" s="4">
        <v>5</v>
      </c>
      <c r="D269" s="4">
        <v>6</v>
      </c>
      <c r="E269" s="4">
        <v>7</v>
      </c>
      <c r="F269" s="4">
        <v>5</v>
      </c>
      <c r="G269" s="4">
        <v>6</v>
      </c>
      <c r="H269" s="4">
        <v>5</v>
      </c>
      <c r="I269" s="4">
        <v>3</v>
      </c>
      <c r="J269" s="4">
        <v>5</v>
      </c>
      <c r="K269" s="4">
        <v>7</v>
      </c>
      <c r="L269" s="4">
        <v>6</v>
      </c>
      <c r="M269" s="4">
        <v>5</v>
      </c>
      <c r="N269" s="4">
        <v>4</v>
      </c>
    </row>
    <row r="270" spans="1:14" x14ac:dyDescent="0.25">
      <c r="A270" s="4">
        <v>188</v>
      </c>
      <c r="B270" s="4">
        <v>2</v>
      </c>
      <c r="C270" s="4">
        <v>5</v>
      </c>
      <c r="D270" s="4">
        <v>6</v>
      </c>
      <c r="E270" s="4">
        <v>7</v>
      </c>
      <c r="F270" s="4">
        <v>6</v>
      </c>
      <c r="G270" s="4">
        <v>6</v>
      </c>
      <c r="H270" s="4">
        <v>6</v>
      </c>
      <c r="I270" s="4">
        <v>2</v>
      </c>
      <c r="J270" s="4">
        <v>6</v>
      </c>
      <c r="K270" s="4">
        <v>2</v>
      </c>
      <c r="L270" s="4">
        <v>6</v>
      </c>
      <c r="M270" s="4">
        <v>5</v>
      </c>
      <c r="N270" s="4">
        <v>5</v>
      </c>
    </row>
    <row r="271" spans="1:14" x14ac:dyDescent="0.25">
      <c r="A271" s="4">
        <v>191</v>
      </c>
      <c r="B271" s="4">
        <v>4</v>
      </c>
      <c r="C271" s="4">
        <v>4</v>
      </c>
      <c r="D271" s="4">
        <v>3</v>
      </c>
      <c r="E271" s="4">
        <v>4</v>
      </c>
      <c r="F271" s="4">
        <v>3</v>
      </c>
      <c r="G271" s="4">
        <v>4</v>
      </c>
      <c r="H271" s="4">
        <v>4</v>
      </c>
      <c r="I271" s="4">
        <v>2</v>
      </c>
      <c r="J271" s="4">
        <v>4</v>
      </c>
      <c r="K271" s="4">
        <v>7</v>
      </c>
      <c r="L271" s="4">
        <v>4</v>
      </c>
      <c r="M271" s="4">
        <v>3</v>
      </c>
      <c r="N271" s="4">
        <v>2</v>
      </c>
    </row>
    <row r="272" spans="1:14" x14ac:dyDescent="0.25">
      <c r="A272" s="4">
        <v>194</v>
      </c>
      <c r="B272" s="4">
        <v>4</v>
      </c>
      <c r="C272" s="4">
        <v>5</v>
      </c>
      <c r="D272" s="4">
        <v>6</v>
      </c>
      <c r="E272" s="4">
        <v>5</v>
      </c>
      <c r="F272" s="4">
        <v>5</v>
      </c>
      <c r="G272" s="4">
        <v>5</v>
      </c>
      <c r="H272" s="4">
        <v>5</v>
      </c>
      <c r="I272" s="4">
        <v>6</v>
      </c>
      <c r="J272" s="4">
        <v>5</v>
      </c>
      <c r="K272" s="4">
        <v>7</v>
      </c>
      <c r="L272" s="4">
        <v>5</v>
      </c>
      <c r="M272" s="4">
        <v>4</v>
      </c>
      <c r="N272" s="4">
        <v>4</v>
      </c>
    </row>
    <row r="273" spans="1:14" x14ac:dyDescent="0.25">
      <c r="A273" s="4">
        <v>195</v>
      </c>
      <c r="B273" s="4">
        <v>4</v>
      </c>
      <c r="C273" s="4">
        <v>5</v>
      </c>
      <c r="D273" s="4">
        <v>5</v>
      </c>
      <c r="E273" s="4">
        <v>4</v>
      </c>
      <c r="F273" s="4">
        <v>4</v>
      </c>
      <c r="G273" s="4">
        <v>5</v>
      </c>
      <c r="H273" s="4">
        <v>4</v>
      </c>
      <c r="I273" s="4">
        <v>4</v>
      </c>
      <c r="J273" s="4">
        <v>3</v>
      </c>
      <c r="K273" s="4">
        <v>7</v>
      </c>
      <c r="L273" s="4">
        <v>4</v>
      </c>
      <c r="M273" s="4">
        <v>4</v>
      </c>
      <c r="N273" s="4">
        <v>3</v>
      </c>
    </row>
    <row r="274" spans="1:14" x14ac:dyDescent="0.25">
      <c r="A274" s="4">
        <v>196</v>
      </c>
      <c r="B274" s="4">
        <v>2</v>
      </c>
      <c r="C274" s="4">
        <v>5</v>
      </c>
      <c r="D274" s="4">
        <v>3</v>
      </c>
      <c r="E274" s="4">
        <v>5</v>
      </c>
      <c r="F274" s="4">
        <v>3</v>
      </c>
      <c r="G274" s="4">
        <v>5</v>
      </c>
      <c r="H274" s="4">
        <v>5</v>
      </c>
      <c r="I274" s="4">
        <v>2</v>
      </c>
      <c r="J274" s="4">
        <v>4</v>
      </c>
      <c r="K274" s="4">
        <v>2</v>
      </c>
      <c r="L274" s="4">
        <v>4</v>
      </c>
      <c r="M274" s="4">
        <v>4</v>
      </c>
      <c r="N274" s="4">
        <v>4</v>
      </c>
    </row>
    <row r="275" spans="1:14" x14ac:dyDescent="0.25">
      <c r="A275" s="4">
        <v>198</v>
      </c>
      <c r="B275" s="4">
        <v>4</v>
      </c>
      <c r="C275" s="4">
        <v>4</v>
      </c>
      <c r="D275" s="4">
        <v>3</v>
      </c>
      <c r="E275" s="4">
        <v>4</v>
      </c>
      <c r="F275" s="4">
        <v>3</v>
      </c>
      <c r="G275" s="4">
        <v>4</v>
      </c>
      <c r="H275" s="4">
        <v>4</v>
      </c>
      <c r="I275" s="4">
        <v>2</v>
      </c>
      <c r="J275" s="4">
        <v>4</v>
      </c>
      <c r="K275" s="4">
        <v>7</v>
      </c>
      <c r="L275" s="4">
        <v>4</v>
      </c>
      <c r="M275" s="4">
        <v>3</v>
      </c>
      <c r="N275" s="4">
        <v>2</v>
      </c>
    </row>
    <row r="276" spans="1:14" x14ac:dyDescent="0.25">
      <c r="A276" s="4">
        <v>199</v>
      </c>
      <c r="B276" s="4">
        <v>2</v>
      </c>
      <c r="C276" s="4">
        <v>4</v>
      </c>
      <c r="D276" s="4">
        <v>2</v>
      </c>
      <c r="E276" s="4">
        <v>5</v>
      </c>
      <c r="F276" s="4">
        <v>2</v>
      </c>
      <c r="G276" s="4">
        <v>6</v>
      </c>
      <c r="H276" s="4">
        <v>4</v>
      </c>
      <c r="I276" s="4">
        <v>2</v>
      </c>
      <c r="J276" s="4">
        <v>5</v>
      </c>
      <c r="K276" s="4">
        <v>2</v>
      </c>
      <c r="L276" s="4">
        <v>3</v>
      </c>
      <c r="M276" s="4">
        <v>3</v>
      </c>
      <c r="N276" s="4">
        <v>2</v>
      </c>
    </row>
    <row r="277" spans="1:14" x14ac:dyDescent="0.25">
      <c r="A277" s="4">
        <v>200</v>
      </c>
      <c r="B277" s="4">
        <v>2</v>
      </c>
      <c r="C277" s="4">
        <v>4</v>
      </c>
      <c r="D277" s="4">
        <v>2</v>
      </c>
      <c r="E277" s="4">
        <v>5</v>
      </c>
      <c r="F277" s="4">
        <v>2</v>
      </c>
      <c r="G277" s="4">
        <v>6</v>
      </c>
      <c r="H277" s="4">
        <v>4</v>
      </c>
      <c r="I277" s="4">
        <v>2</v>
      </c>
      <c r="J277" s="4">
        <v>5</v>
      </c>
      <c r="K277" s="4">
        <v>2</v>
      </c>
      <c r="L277" s="4">
        <v>3</v>
      </c>
      <c r="M277" s="4">
        <v>3</v>
      </c>
      <c r="N277" s="4">
        <v>2</v>
      </c>
    </row>
    <row r="278" spans="1:14" x14ac:dyDescent="0.25">
      <c r="A278" s="4">
        <v>202</v>
      </c>
      <c r="B278" s="4">
        <v>2</v>
      </c>
      <c r="C278" s="4">
        <v>5</v>
      </c>
      <c r="D278" s="4">
        <v>3</v>
      </c>
      <c r="E278" s="4">
        <v>7</v>
      </c>
      <c r="F278" s="4">
        <v>3</v>
      </c>
      <c r="G278" s="4">
        <v>5</v>
      </c>
      <c r="H278" s="4">
        <v>6</v>
      </c>
      <c r="I278" s="4">
        <v>2</v>
      </c>
      <c r="J278" s="4">
        <v>6</v>
      </c>
      <c r="K278" s="4">
        <v>2</v>
      </c>
      <c r="L278" s="4">
        <v>4</v>
      </c>
      <c r="M278" s="4">
        <v>4</v>
      </c>
      <c r="N278" s="4">
        <v>4</v>
      </c>
    </row>
    <row r="279" spans="1:14" x14ac:dyDescent="0.25">
      <c r="A279" s="4">
        <v>203</v>
      </c>
      <c r="B279" s="4">
        <v>1</v>
      </c>
      <c r="C279" s="4">
        <v>4</v>
      </c>
      <c r="D279" s="4">
        <v>6</v>
      </c>
      <c r="E279" s="4">
        <v>5</v>
      </c>
      <c r="F279" s="4">
        <v>6</v>
      </c>
      <c r="G279" s="4">
        <v>4</v>
      </c>
      <c r="H279" s="4">
        <v>4</v>
      </c>
      <c r="I279" s="4">
        <v>1</v>
      </c>
      <c r="J279" s="4">
        <v>3</v>
      </c>
      <c r="K279" s="4">
        <v>1</v>
      </c>
      <c r="L279" s="4">
        <v>4</v>
      </c>
      <c r="M279" s="4">
        <v>4</v>
      </c>
      <c r="N279" s="4">
        <v>3</v>
      </c>
    </row>
    <row r="280" spans="1:14" x14ac:dyDescent="0.25">
      <c r="A280" s="4">
        <v>204</v>
      </c>
      <c r="B280" s="4">
        <v>4</v>
      </c>
      <c r="C280" s="4">
        <v>5</v>
      </c>
      <c r="D280" s="4">
        <v>6</v>
      </c>
      <c r="E280" s="4">
        <v>5</v>
      </c>
      <c r="F280" s="4">
        <v>6</v>
      </c>
      <c r="G280" s="4">
        <v>5</v>
      </c>
      <c r="H280" s="4">
        <v>5</v>
      </c>
      <c r="I280" s="4">
        <v>4</v>
      </c>
      <c r="J280" s="4">
        <v>5</v>
      </c>
      <c r="K280" s="4">
        <v>7</v>
      </c>
      <c r="L280" s="4">
        <v>5</v>
      </c>
      <c r="M280" s="4">
        <v>4</v>
      </c>
      <c r="N280" s="4">
        <v>4</v>
      </c>
    </row>
    <row r="281" spans="1:14" x14ac:dyDescent="0.25">
      <c r="A281" s="4">
        <v>205</v>
      </c>
      <c r="B281" s="4">
        <v>2</v>
      </c>
      <c r="C281" s="4">
        <v>4</v>
      </c>
      <c r="D281" s="4">
        <v>4</v>
      </c>
      <c r="E281" s="4">
        <v>6</v>
      </c>
      <c r="F281" s="4">
        <v>4</v>
      </c>
      <c r="G281" s="4">
        <v>4</v>
      </c>
      <c r="H281" s="4">
        <v>6</v>
      </c>
      <c r="I281" s="4">
        <v>2</v>
      </c>
      <c r="J281" s="4">
        <v>5</v>
      </c>
      <c r="K281" s="4">
        <v>2</v>
      </c>
      <c r="L281" s="4">
        <v>3</v>
      </c>
      <c r="M281" s="4">
        <v>3</v>
      </c>
      <c r="N281" s="4">
        <v>3</v>
      </c>
    </row>
    <row r="282" spans="1:14" x14ac:dyDescent="0.25">
      <c r="A282" s="4">
        <v>208</v>
      </c>
      <c r="B282" s="4">
        <v>4</v>
      </c>
      <c r="C282" s="4">
        <v>4</v>
      </c>
      <c r="D282" s="4">
        <v>5</v>
      </c>
      <c r="E282" s="4">
        <v>4</v>
      </c>
      <c r="F282" s="4">
        <v>5</v>
      </c>
      <c r="G282" s="4">
        <v>4</v>
      </c>
      <c r="H282" s="4">
        <v>4</v>
      </c>
      <c r="I282" s="4">
        <v>4</v>
      </c>
      <c r="J282" s="4">
        <v>3</v>
      </c>
      <c r="K282" s="4">
        <v>7</v>
      </c>
      <c r="L282" s="4">
        <v>4</v>
      </c>
      <c r="M282" s="4">
        <v>4</v>
      </c>
      <c r="N282" s="4">
        <v>3</v>
      </c>
    </row>
    <row r="283" spans="1:14" x14ac:dyDescent="0.25">
      <c r="A283" s="4">
        <v>211</v>
      </c>
      <c r="B283" s="4">
        <v>2</v>
      </c>
      <c r="C283" s="4">
        <v>5</v>
      </c>
      <c r="D283" s="4">
        <v>4</v>
      </c>
      <c r="E283" s="4">
        <v>5</v>
      </c>
      <c r="F283" s="4">
        <v>4</v>
      </c>
      <c r="G283" s="4">
        <v>5</v>
      </c>
      <c r="H283" s="4">
        <v>5</v>
      </c>
      <c r="I283" s="4">
        <v>2</v>
      </c>
      <c r="J283" s="4">
        <v>5</v>
      </c>
      <c r="K283" s="4">
        <v>2</v>
      </c>
      <c r="L283" s="4">
        <v>4</v>
      </c>
      <c r="M283" s="4">
        <v>5</v>
      </c>
      <c r="N283" s="4">
        <v>4</v>
      </c>
    </row>
    <row r="284" spans="1:14" x14ac:dyDescent="0.25">
      <c r="A284" s="4">
        <v>212</v>
      </c>
      <c r="B284" s="4">
        <v>4</v>
      </c>
      <c r="C284" s="4">
        <v>4</v>
      </c>
      <c r="D284" s="4">
        <v>3</v>
      </c>
      <c r="E284" s="4">
        <v>4</v>
      </c>
      <c r="F284" s="4">
        <v>3</v>
      </c>
      <c r="G284" s="4">
        <v>4</v>
      </c>
      <c r="H284" s="4">
        <v>4</v>
      </c>
      <c r="I284" s="4">
        <v>2</v>
      </c>
      <c r="J284" s="4">
        <v>4</v>
      </c>
      <c r="K284" s="4">
        <v>7</v>
      </c>
      <c r="L284" s="4">
        <v>4</v>
      </c>
      <c r="M284" s="4">
        <v>3</v>
      </c>
      <c r="N284" s="4">
        <v>2</v>
      </c>
    </row>
    <row r="285" spans="1:14" x14ac:dyDescent="0.25">
      <c r="A285" s="4">
        <v>213</v>
      </c>
      <c r="B285" s="4">
        <v>3</v>
      </c>
      <c r="C285" s="4">
        <v>3</v>
      </c>
      <c r="D285" s="4">
        <v>2</v>
      </c>
      <c r="E285" s="4">
        <v>4</v>
      </c>
      <c r="F285" s="4">
        <v>2</v>
      </c>
      <c r="G285" s="4">
        <v>3</v>
      </c>
      <c r="H285" s="4">
        <v>4</v>
      </c>
      <c r="I285" s="4">
        <v>3</v>
      </c>
      <c r="J285" s="4">
        <v>4</v>
      </c>
      <c r="K285" s="4">
        <v>7</v>
      </c>
      <c r="L285" s="4">
        <v>4</v>
      </c>
      <c r="M285" s="4">
        <v>4</v>
      </c>
      <c r="N285" s="4">
        <v>3</v>
      </c>
    </row>
    <row r="286" spans="1:14" x14ac:dyDescent="0.25">
      <c r="A286" s="4">
        <v>214</v>
      </c>
      <c r="B286" s="4">
        <v>4</v>
      </c>
      <c r="C286" s="4">
        <v>5</v>
      </c>
      <c r="D286" s="4">
        <v>6</v>
      </c>
      <c r="E286" s="4">
        <v>7</v>
      </c>
      <c r="F286" s="4">
        <v>6</v>
      </c>
      <c r="G286" s="4">
        <v>5</v>
      </c>
      <c r="H286" s="4">
        <v>5</v>
      </c>
      <c r="I286" s="4">
        <v>4</v>
      </c>
      <c r="J286" s="4">
        <v>5</v>
      </c>
      <c r="K286" s="4">
        <v>4</v>
      </c>
      <c r="L286" s="4">
        <v>6</v>
      </c>
      <c r="M286" s="4">
        <v>5</v>
      </c>
      <c r="N286" s="4">
        <v>5</v>
      </c>
    </row>
    <row r="287" spans="1:14" x14ac:dyDescent="0.25">
      <c r="A287" s="4">
        <v>216</v>
      </c>
      <c r="B287" s="4">
        <v>4</v>
      </c>
      <c r="C287" s="4">
        <v>5</v>
      </c>
      <c r="D287" s="4">
        <v>6</v>
      </c>
      <c r="E287" s="4">
        <v>5</v>
      </c>
      <c r="F287" s="4">
        <v>5</v>
      </c>
      <c r="G287" s="4">
        <v>5</v>
      </c>
      <c r="H287" s="4">
        <v>5</v>
      </c>
      <c r="I287" s="4">
        <v>4</v>
      </c>
      <c r="J287" s="4">
        <v>5</v>
      </c>
      <c r="K287" s="4">
        <v>4</v>
      </c>
      <c r="L287" s="4">
        <v>5</v>
      </c>
      <c r="M287" s="4">
        <v>4</v>
      </c>
      <c r="N287" s="4">
        <v>4</v>
      </c>
    </row>
    <row r="288" spans="1:14" x14ac:dyDescent="0.25">
      <c r="A288" s="4">
        <v>217</v>
      </c>
      <c r="B288" s="4">
        <v>3</v>
      </c>
      <c r="C288" s="4">
        <v>5</v>
      </c>
      <c r="D288" s="4">
        <v>6</v>
      </c>
      <c r="E288" s="4">
        <v>4</v>
      </c>
      <c r="F288" s="4">
        <v>6</v>
      </c>
      <c r="G288" s="4">
        <v>5</v>
      </c>
      <c r="H288" s="4">
        <v>5</v>
      </c>
      <c r="I288" s="4">
        <v>3</v>
      </c>
      <c r="J288" s="4">
        <v>4</v>
      </c>
      <c r="K288" s="4">
        <v>3</v>
      </c>
      <c r="L288" s="4">
        <v>4</v>
      </c>
      <c r="M288" s="4">
        <v>4</v>
      </c>
      <c r="N288" s="4">
        <v>3</v>
      </c>
    </row>
    <row r="289" spans="1:14" x14ac:dyDescent="0.25">
      <c r="A289" s="4">
        <v>218</v>
      </c>
      <c r="B289" s="4">
        <v>4</v>
      </c>
      <c r="C289" s="4">
        <v>5</v>
      </c>
      <c r="D289" s="4">
        <v>5</v>
      </c>
      <c r="E289" s="4">
        <v>4</v>
      </c>
      <c r="F289" s="4">
        <v>4</v>
      </c>
      <c r="G289" s="4">
        <v>5</v>
      </c>
      <c r="H289" s="4">
        <v>4</v>
      </c>
      <c r="I289" s="4">
        <v>4</v>
      </c>
      <c r="J289" s="4">
        <v>3</v>
      </c>
      <c r="K289" s="4">
        <v>7</v>
      </c>
      <c r="L289" s="4">
        <v>4</v>
      </c>
      <c r="M289" s="4">
        <v>4</v>
      </c>
      <c r="N289" s="4">
        <v>3</v>
      </c>
    </row>
    <row r="290" spans="1:14" x14ac:dyDescent="0.25">
      <c r="A290" s="4">
        <v>219</v>
      </c>
      <c r="B290" s="4">
        <v>2</v>
      </c>
      <c r="C290" s="4">
        <v>4</v>
      </c>
      <c r="D290" s="4">
        <v>2</v>
      </c>
      <c r="E290" s="4">
        <v>5</v>
      </c>
      <c r="F290" s="4">
        <v>2</v>
      </c>
      <c r="G290" s="4">
        <v>6</v>
      </c>
      <c r="H290" s="4">
        <v>4</v>
      </c>
      <c r="I290" s="4">
        <v>2</v>
      </c>
      <c r="J290" s="4">
        <v>5</v>
      </c>
      <c r="K290" s="4">
        <v>2</v>
      </c>
      <c r="L290" s="4">
        <v>3</v>
      </c>
      <c r="M290" s="4">
        <v>3</v>
      </c>
      <c r="N290" s="4">
        <v>2</v>
      </c>
    </row>
    <row r="291" spans="1:14" x14ac:dyDescent="0.25">
      <c r="A291" s="4">
        <v>221</v>
      </c>
      <c r="B291" s="4">
        <v>3</v>
      </c>
      <c r="C291" s="4">
        <v>4</v>
      </c>
      <c r="D291" s="4">
        <v>5</v>
      </c>
      <c r="E291" s="4">
        <v>4</v>
      </c>
      <c r="F291" s="4">
        <v>5</v>
      </c>
      <c r="G291" s="4">
        <v>5</v>
      </c>
      <c r="H291" s="4">
        <v>4</v>
      </c>
      <c r="I291" s="4">
        <v>2</v>
      </c>
      <c r="J291" s="4">
        <v>4</v>
      </c>
      <c r="K291" s="4">
        <v>2</v>
      </c>
      <c r="L291" s="4">
        <v>4</v>
      </c>
      <c r="M291" s="4">
        <v>4</v>
      </c>
      <c r="N291" s="4">
        <v>3</v>
      </c>
    </row>
    <row r="292" spans="1:14" x14ac:dyDescent="0.25">
      <c r="A292" s="4">
        <v>222</v>
      </c>
      <c r="B292" s="4">
        <v>3</v>
      </c>
      <c r="C292" s="4">
        <v>4</v>
      </c>
      <c r="D292" s="4">
        <v>2</v>
      </c>
      <c r="E292" s="4">
        <v>4</v>
      </c>
      <c r="F292" s="4">
        <v>2</v>
      </c>
      <c r="G292" s="4">
        <v>3</v>
      </c>
      <c r="H292" s="4">
        <v>4</v>
      </c>
      <c r="I292" s="4">
        <v>4</v>
      </c>
      <c r="J292" s="4">
        <v>3</v>
      </c>
      <c r="K292" s="4">
        <v>4</v>
      </c>
      <c r="L292" s="4">
        <v>4</v>
      </c>
      <c r="M292" s="4">
        <v>3</v>
      </c>
      <c r="N292" s="4">
        <v>3</v>
      </c>
    </row>
    <row r="293" spans="1:14" x14ac:dyDescent="0.25">
      <c r="A293" s="4">
        <v>223</v>
      </c>
      <c r="B293" s="4">
        <v>4</v>
      </c>
      <c r="C293" s="4">
        <v>6</v>
      </c>
      <c r="D293" s="4">
        <v>6</v>
      </c>
      <c r="E293" s="4">
        <v>5</v>
      </c>
      <c r="F293" s="4">
        <v>6</v>
      </c>
      <c r="G293" s="4">
        <v>6</v>
      </c>
      <c r="H293" s="4">
        <v>5</v>
      </c>
      <c r="I293" s="4">
        <v>7</v>
      </c>
      <c r="J293" s="4">
        <v>3</v>
      </c>
      <c r="K293" s="4">
        <v>7</v>
      </c>
      <c r="L293" s="4">
        <v>5</v>
      </c>
      <c r="M293" s="4">
        <v>5</v>
      </c>
      <c r="N293" s="4">
        <v>4</v>
      </c>
    </row>
    <row r="294" spans="1:14" x14ac:dyDescent="0.25">
      <c r="A294" s="4">
        <v>224</v>
      </c>
      <c r="B294" s="4">
        <v>2</v>
      </c>
      <c r="C294" s="4">
        <v>5</v>
      </c>
      <c r="D294" s="4">
        <v>6</v>
      </c>
      <c r="E294" s="4">
        <v>4</v>
      </c>
      <c r="F294" s="4">
        <v>5</v>
      </c>
      <c r="G294" s="4">
        <v>5</v>
      </c>
      <c r="H294" s="4">
        <v>3</v>
      </c>
      <c r="I294" s="4">
        <v>1</v>
      </c>
      <c r="J294" s="4">
        <v>2</v>
      </c>
      <c r="K294" s="4">
        <v>3</v>
      </c>
      <c r="L294" s="4">
        <v>3</v>
      </c>
      <c r="M294" s="4">
        <v>3</v>
      </c>
      <c r="N294" s="4">
        <v>3</v>
      </c>
    </row>
    <row r="295" spans="1:14" x14ac:dyDescent="0.25">
      <c r="A295" s="4">
        <v>225</v>
      </c>
      <c r="B295" s="4">
        <v>3</v>
      </c>
      <c r="C295" s="4">
        <v>5</v>
      </c>
      <c r="D295" s="4">
        <v>2</v>
      </c>
      <c r="E295" s="4">
        <v>5</v>
      </c>
      <c r="F295" s="4">
        <v>2</v>
      </c>
      <c r="G295" s="4">
        <v>5</v>
      </c>
      <c r="H295" s="4">
        <v>5</v>
      </c>
      <c r="I295" s="4">
        <v>2</v>
      </c>
      <c r="J295" s="4">
        <v>4</v>
      </c>
      <c r="K295" s="4">
        <v>4</v>
      </c>
      <c r="L295" s="4">
        <v>4</v>
      </c>
      <c r="M295" s="4">
        <v>4</v>
      </c>
      <c r="N295" s="4">
        <v>3</v>
      </c>
    </row>
    <row r="296" spans="1:14" x14ac:dyDescent="0.25">
      <c r="A296" s="4">
        <v>229</v>
      </c>
      <c r="B296" s="4">
        <v>4</v>
      </c>
      <c r="C296" s="4">
        <v>5</v>
      </c>
      <c r="D296" s="4">
        <v>6</v>
      </c>
      <c r="E296" s="4">
        <v>6</v>
      </c>
      <c r="F296" s="4">
        <v>6</v>
      </c>
      <c r="G296" s="4">
        <v>4</v>
      </c>
      <c r="H296" s="4">
        <v>4</v>
      </c>
      <c r="I296" s="4">
        <v>3</v>
      </c>
      <c r="J296" s="4">
        <v>4</v>
      </c>
      <c r="K296" s="4">
        <v>7</v>
      </c>
      <c r="L296" s="4">
        <v>6</v>
      </c>
      <c r="M296" s="4">
        <v>5</v>
      </c>
      <c r="N296" s="4">
        <v>5</v>
      </c>
    </row>
    <row r="297" spans="1:14" x14ac:dyDescent="0.25">
      <c r="A297" s="4">
        <v>230</v>
      </c>
      <c r="B297" s="4">
        <v>2</v>
      </c>
      <c r="C297" s="4">
        <v>4</v>
      </c>
      <c r="D297" s="4">
        <v>2</v>
      </c>
      <c r="E297" s="4">
        <v>5</v>
      </c>
      <c r="F297" s="4">
        <v>2</v>
      </c>
      <c r="G297" s="4">
        <v>4</v>
      </c>
      <c r="H297" s="4">
        <v>5</v>
      </c>
      <c r="I297" s="4">
        <v>3</v>
      </c>
      <c r="J297" s="4">
        <v>5</v>
      </c>
      <c r="K297" s="4">
        <v>3</v>
      </c>
      <c r="L297" s="4">
        <v>5</v>
      </c>
      <c r="M297" s="4">
        <v>4</v>
      </c>
      <c r="N297" s="4">
        <v>4</v>
      </c>
    </row>
    <row r="298" spans="1:14" x14ac:dyDescent="0.25">
      <c r="A298" s="4">
        <v>231</v>
      </c>
      <c r="B298" s="4">
        <v>4</v>
      </c>
      <c r="C298" s="4">
        <v>5</v>
      </c>
      <c r="D298" s="4">
        <v>6</v>
      </c>
      <c r="E298" s="4">
        <v>7</v>
      </c>
      <c r="F298" s="4">
        <v>5</v>
      </c>
      <c r="G298" s="4">
        <v>4</v>
      </c>
      <c r="H298" s="4">
        <v>5</v>
      </c>
      <c r="I298" s="4">
        <v>3</v>
      </c>
      <c r="J298" s="4">
        <v>5</v>
      </c>
      <c r="K298" s="4">
        <v>7</v>
      </c>
      <c r="L298" s="4">
        <v>6</v>
      </c>
      <c r="M298" s="4">
        <v>4</v>
      </c>
      <c r="N298" s="4">
        <v>4</v>
      </c>
    </row>
    <row r="299" spans="1:14" x14ac:dyDescent="0.25">
      <c r="A299" s="4">
        <v>232</v>
      </c>
      <c r="B299" s="4">
        <v>2</v>
      </c>
      <c r="C299" s="4">
        <v>5</v>
      </c>
      <c r="D299" s="4">
        <v>6</v>
      </c>
      <c r="E299" s="4">
        <v>7</v>
      </c>
      <c r="F299" s="4">
        <v>6</v>
      </c>
      <c r="G299" s="4">
        <v>4</v>
      </c>
      <c r="H299" s="4">
        <v>6</v>
      </c>
      <c r="I299" s="4">
        <v>2</v>
      </c>
      <c r="J299" s="4">
        <v>6</v>
      </c>
      <c r="K299" s="4">
        <v>3</v>
      </c>
      <c r="L299" s="4">
        <v>6</v>
      </c>
      <c r="M299" s="4">
        <v>5</v>
      </c>
      <c r="N299" s="4">
        <v>5</v>
      </c>
    </row>
    <row r="300" spans="1:14" x14ac:dyDescent="0.25">
      <c r="A300" s="4">
        <v>235</v>
      </c>
      <c r="B300" s="4">
        <v>2</v>
      </c>
      <c r="C300" s="4">
        <v>5</v>
      </c>
      <c r="D300" s="4">
        <v>6</v>
      </c>
      <c r="E300" s="4">
        <v>6</v>
      </c>
      <c r="F300" s="4">
        <v>6</v>
      </c>
      <c r="G300" s="4">
        <v>5</v>
      </c>
      <c r="H300" s="4">
        <v>5</v>
      </c>
      <c r="I300" s="4">
        <v>2</v>
      </c>
      <c r="J300" s="4">
        <v>4</v>
      </c>
      <c r="K300" s="4">
        <v>3</v>
      </c>
      <c r="L300" s="4">
        <v>4</v>
      </c>
      <c r="M300" s="4">
        <v>4</v>
      </c>
      <c r="N300" s="4">
        <v>3</v>
      </c>
    </row>
    <row r="301" spans="1:14" x14ac:dyDescent="0.25">
      <c r="A301" s="4">
        <v>236</v>
      </c>
      <c r="B301" s="4">
        <v>2</v>
      </c>
      <c r="C301" s="4">
        <v>6</v>
      </c>
      <c r="D301" s="4">
        <v>4</v>
      </c>
      <c r="E301" s="4">
        <v>7</v>
      </c>
      <c r="F301" s="4">
        <v>4</v>
      </c>
      <c r="G301" s="4">
        <v>6</v>
      </c>
      <c r="H301" s="4">
        <v>6</v>
      </c>
      <c r="I301" s="4">
        <v>2</v>
      </c>
      <c r="J301" s="4">
        <v>5</v>
      </c>
      <c r="K301" s="4">
        <v>3</v>
      </c>
      <c r="L301" s="4">
        <v>5</v>
      </c>
      <c r="M301" s="4">
        <v>5</v>
      </c>
      <c r="N301" s="4">
        <v>4</v>
      </c>
    </row>
    <row r="302" spans="1:14" x14ac:dyDescent="0.25">
      <c r="A302" s="4">
        <v>238</v>
      </c>
      <c r="B302" s="4">
        <v>2</v>
      </c>
      <c r="C302" s="4">
        <v>6</v>
      </c>
      <c r="D302" s="4">
        <v>5</v>
      </c>
      <c r="E302" s="4">
        <v>7</v>
      </c>
      <c r="F302" s="4">
        <v>5</v>
      </c>
      <c r="G302" s="4">
        <v>3</v>
      </c>
      <c r="H302" s="4">
        <v>6</v>
      </c>
      <c r="I302" s="4">
        <v>6</v>
      </c>
      <c r="J302" s="4">
        <v>5</v>
      </c>
      <c r="K302" s="4">
        <v>3</v>
      </c>
      <c r="L302" s="4">
        <v>5</v>
      </c>
      <c r="M302" s="4">
        <v>5</v>
      </c>
      <c r="N302" s="4">
        <v>4</v>
      </c>
    </row>
    <row r="303" spans="1:14" x14ac:dyDescent="0.25">
      <c r="A303" s="4">
        <v>240</v>
      </c>
      <c r="B303" s="4">
        <v>2</v>
      </c>
      <c r="C303" s="4">
        <v>4</v>
      </c>
      <c r="D303" s="4">
        <v>6</v>
      </c>
      <c r="E303" s="4">
        <v>7</v>
      </c>
      <c r="F303" s="4">
        <v>5</v>
      </c>
      <c r="G303" s="4">
        <v>6</v>
      </c>
      <c r="H303" s="4">
        <v>5</v>
      </c>
      <c r="I303" s="4">
        <v>2</v>
      </c>
      <c r="J303" s="4">
        <v>7</v>
      </c>
      <c r="K303" s="4">
        <v>3</v>
      </c>
      <c r="L303" s="4">
        <v>6</v>
      </c>
      <c r="M303" s="4">
        <v>5</v>
      </c>
      <c r="N303" s="4">
        <v>3</v>
      </c>
    </row>
    <row r="304" spans="1:14" x14ac:dyDescent="0.25">
      <c r="A304" s="4">
        <v>245</v>
      </c>
      <c r="B304" s="4">
        <v>2</v>
      </c>
      <c r="C304" s="4">
        <v>5</v>
      </c>
      <c r="D304" s="4">
        <v>3</v>
      </c>
      <c r="E304" s="4">
        <v>5</v>
      </c>
      <c r="F304" s="4">
        <v>3</v>
      </c>
      <c r="G304" s="4">
        <v>5</v>
      </c>
      <c r="H304" s="4">
        <v>5</v>
      </c>
      <c r="I304" s="4">
        <v>2</v>
      </c>
      <c r="J304" s="4">
        <v>4</v>
      </c>
      <c r="K304" s="4">
        <v>3</v>
      </c>
      <c r="L304" s="4">
        <v>4</v>
      </c>
      <c r="M304" s="4">
        <v>4</v>
      </c>
      <c r="N304" s="4">
        <v>4</v>
      </c>
    </row>
    <row r="305" spans="1:14" x14ac:dyDescent="0.25">
      <c r="A305" s="4">
        <v>246</v>
      </c>
      <c r="B305" s="4">
        <v>4</v>
      </c>
      <c r="C305" s="4">
        <v>6</v>
      </c>
      <c r="D305" s="4">
        <v>6</v>
      </c>
      <c r="E305" s="4">
        <v>5</v>
      </c>
      <c r="F305" s="4">
        <v>6</v>
      </c>
      <c r="G305" s="4">
        <v>6</v>
      </c>
      <c r="H305" s="4">
        <v>5</v>
      </c>
      <c r="I305" s="4">
        <v>4</v>
      </c>
      <c r="J305" s="4">
        <v>5</v>
      </c>
      <c r="K305" s="4">
        <v>7</v>
      </c>
      <c r="L305" s="4">
        <v>5</v>
      </c>
      <c r="M305" s="4">
        <v>5</v>
      </c>
      <c r="N305" s="4">
        <v>4</v>
      </c>
    </row>
    <row r="306" spans="1:14" x14ac:dyDescent="0.25">
      <c r="A306" s="4">
        <v>247</v>
      </c>
      <c r="B306" s="4">
        <v>2</v>
      </c>
      <c r="C306" s="4">
        <v>4</v>
      </c>
      <c r="D306" s="4">
        <v>4</v>
      </c>
      <c r="E306" s="4">
        <v>5</v>
      </c>
      <c r="F306" s="4">
        <v>4</v>
      </c>
      <c r="G306" s="4">
        <v>5</v>
      </c>
      <c r="H306" s="4">
        <v>5</v>
      </c>
      <c r="I306" s="4">
        <v>4</v>
      </c>
      <c r="J306" s="4">
        <v>5</v>
      </c>
      <c r="K306" s="4">
        <v>4</v>
      </c>
      <c r="L306" s="4">
        <v>3</v>
      </c>
      <c r="M306" s="4">
        <v>3</v>
      </c>
      <c r="N306" s="4">
        <v>3</v>
      </c>
    </row>
    <row r="307" spans="1:14" x14ac:dyDescent="0.25">
      <c r="A307" s="4">
        <v>250</v>
      </c>
      <c r="B307" s="4">
        <v>3</v>
      </c>
      <c r="C307" s="4">
        <v>5</v>
      </c>
      <c r="D307" s="4">
        <v>5</v>
      </c>
      <c r="E307" s="4">
        <v>4</v>
      </c>
      <c r="F307" s="4">
        <v>5</v>
      </c>
      <c r="G307" s="4">
        <v>5</v>
      </c>
      <c r="H307" s="4">
        <v>4</v>
      </c>
      <c r="I307" s="4">
        <v>3</v>
      </c>
      <c r="J307" s="4">
        <v>4</v>
      </c>
      <c r="K307" s="4">
        <v>7</v>
      </c>
      <c r="L307" s="4">
        <v>4</v>
      </c>
      <c r="M307" s="4">
        <v>4</v>
      </c>
      <c r="N307" s="4">
        <v>3</v>
      </c>
    </row>
    <row r="308" spans="1:14" x14ac:dyDescent="0.25">
      <c r="A308" s="4">
        <v>251</v>
      </c>
      <c r="B308" s="4">
        <v>2</v>
      </c>
      <c r="C308" s="4">
        <v>5</v>
      </c>
      <c r="D308" s="4">
        <v>4</v>
      </c>
      <c r="E308" s="4">
        <v>5</v>
      </c>
      <c r="F308" s="4">
        <v>4</v>
      </c>
      <c r="G308" s="4">
        <v>5</v>
      </c>
      <c r="H308" s="4">
        <v>5</v>
      </c>
      <c r="I308" s="4">
        <v>2</v>
      </c>
      <c r="J308" s="4">
        <v>5</v>
      </c>
      <c r="K308" s="4">
        <v>3</v>
      </c>
      <c r="L308" s="4">
        <v>4</v>
      </c>
      <c r="M308" s="4">
        <v>5</v>
      </c>
      <c r="N308" s="4">
        <v>5</v>
      </c>
    </row>
    <row r="309" spans="1:14" x14ac:dyDescent="0.25">
      <c r="A309" s="4">
        <v>252</v>
      </c>
      <c r="B309" s="4">
        <v>4</v>
      </c>
      <c r="C309" s="4">
        <v>5</v>
      </c>
      <c r="D309" s="4">
        <v>3</v>
      </c>
      <c r="E309" s="4">
        <v>4</v>
      </c>
      <c r="F309" s="4">
        <v>3</v>
      </c>
      <c r="G309" s="4">
        <v>6</v>
      </c>
      <c r="H309" s="4">
        <v>4</v>
      </c>
      <c r="I309" s="4">
        <v>2</v>
      </c>
      <c r="J309" s="4">
        <v>4</v>
      </c>
      <c r="K309" s="4">
        <v>7</v>
      </c>
      <c r="L309" s="4">
        <v>4</v>
      </c>
      <c r="M309" s="4">
        <v>3</v>
      </c>
      <c r="N309" s="4">
        <v>2</v>
      </c>
    </row>
    <row r="310" spans="1:14" x14ac:dyDescent="0.25">
      <c r="A310" s="4">
        <v>253</v>
      </c>
      <c r="B310" s="4">
        <v>4</v>
      </c>
      <c r="C310" s="4">
        <v>5</v>
      </c>
      <c r="D310" s="4">
        <v>6</v>
      </c>
      <c r="E310" s="4">
        <v>7</v>
      </c>
      <c r="F310" s="4">
        <v>6</v>
      </c>
      <c r="G310" s="4">
        <v>7</v>
      </c>
      <c r="H310" s="4">
        <v>5</v>
      </c>
      <c r="I310" s="4">
        <v>6</v>
      </c>
      <c r="J310" s="4">
        <v>5</v>
      </c>
      <c r="K310" s="4">
        <v>4</v>
      </c>
      <c r="L310" s="4">
        <v>6</v>
      </c>
      <c r="M310" s="4">
        <v>5</v>
      </c>
      <c r="N310" s="4">
        <v>5</v>
      </c>
    </row>
    <row r="311" spans="1:14" x14ac:dyDescent="0.25">
      <c r="A311" s="4">
        <v>254</v>
      </c>
      <c r="B311" s="4">
        <v>4</v>
      </c>
      <c r="C311" s="4">
        <v>5</v>
      </c>
      <c r="D311" s="4">
        <v>5</v>
      </c>
      <c r="E311" s="4">
        <v>4</v>
      </c>
      <c r="F311" s="4">
        <v>4</v>
      </c>
      <c r="G311" s="4">
        <v>5</v>
      </c>
      <c r="H311" s="4">
        <v>4</v>
      </c>
      <c r="I311" s="4">
        <v>4</v>
      </c>
      <c r="J311" s="4">
        <v>3</v>
      </c>
      <c r="K311" s="4">
        <v>7</v>
      </c>
      <c r="L311" s="4">
        <v>4</v>
      </c>
      <c r="M311" s="4">
        <v>4</v>
      </c>
      <c r="N311" s="4">
        <v>3</v>
      </c>
    </row>
    <row r="312" spans="1:14" x14ac:dyDescent="0.25">
      <c r="A312" s="4">
        <v>256</v>
      </c>
      <c r="B312" s="4">
        <v>3</v>
      </c>
      <c r="C312" s="4">
        <v>5</v>
      </c>
      <c r="D312" s="4">
        <v>5</v>
      </c>
      <c r="E312" s="4">
        <v>4</v>
      </c>
      <c r="F312" s="4">
        <v>5</v>
      </c>
      <c r="G312" s="4">
        <v>5</v>
      </c>
      <c r="H312" s="4">
        <v>4</v>
      </c>
      <c r="I312" s="4">
        <v>4</v>
      </c>
      <c r="J312" s="4">
        <v>5</v>
      </c>
      <c r="K312" s="4">
        <v>4</v>
      </c>
      <c r="L312" s="4">
        <v>4</v>
      </c>
      <c r="M312" s="4">
        <v>4</v>
      </c>
      <c r="N312" s="4">
        <v>3</v>
      </c>
    </row>
    <row r="313" spans="1:14" x14ac:dyDescent="0.25">
      <c r="A313" s="4">
        <v>257</v>
      </c>
      <c r="B313" s="4">
        <v>4</v>
      </c>
      <c r="C313" s="4">
        <v>6</v>
      </c>
      <c r="D313" s="4">
        <v>6</v>
      </c>
      <c r="E313" s="4">
        <v>5</v>
      </c>
      <c r="F313" s="4">
        <v>6</v>
      </c>
      <c r="G313" s="4">
        <v>6</v>
      </c>
      <c r="H313" s="4">
        <v>5</v>
      </c>
      <c r="I313" s="4">
        <v>4</v>
      </c>
      <c r="J313" s="4">
        <v>3</v>
      </c>
      <c r="K313" s="4">
        <v>7</v>
      </c>
      <c r="L313" s="4">
        <v>5</v>
      </c>
      <c r="M313" s="4">
        <v>5</v>
      </c>
      <c r="N313" s="4">
        <v>4</v>
      </c>
    </row>
    <row r="314" spans="1:14" x14ac:dyDescent="0.25">
      <c r="A314" s="4">
        <v>258</v>
      </c>
      <c r="B314" s="4">
        <v>2</v>
      </c>
      <c r="C314" s="4">
        <v>5</v>
      </c>
      <c r="D314" s="4">
        <v>6</v>
      </c>
      <c r="E314" s="4">
        <v>4</v>
      </c>
      <c r="F314" s="4">
        <v>5</v>
      </c>
      <c r="G314" s="4">
        <v>4</v>
      </c>
      <c r="H314" s="4">
        <v>3</v>
      </c>
      <c r="I314" s="4">
        <v>1</v>
      </c>
      <c r="J314" s="4">
        <v>2</v>
      </c>
      <c r="K314" s="4">
        <v>3</v>
      </c>
      <c r="L314" s="4">
        <v>3</v>
      </c>
      <c r="M314" s="4">
        <v>2</v>
      </c>
      <c r="N314" s="4">
        <v>2</v>
      </c>
    </row>
    <row r="315" spans="1:14" x14ac:dyDescent="0.25">
      <c r="A315" s="4">
        <v>261</v>
      </c>
      <c r="B315" s="4">
        <v>4</v>
      </c>
      <c r="C315" s="4">
        <v>5</v>
      </c>
      <c r="D315" s="4">
        <v>6</v>
      </c>
      <c r="E315" s="4">
        <v>7</v>
      </c>
      <c r="F315" s="4">
        <v>5</v>
      </c>
      <c r="G315" s="4">
        <v>6</v>
      </c>
      <c r="H315" s="4">
        <v>5</v>
      </c>
      <c r="I315" s="4">
        <v>4</v>
      </c>
      <c r="J315" s="4">
        <v>5</v>
      </c>
      <c r="K315" s="4">
        <v>7</v>
      </c>
      <c r="L315" s="4">
        <v>6</v>
      </c>
      <c r="M315" s="4">
        <v>5</v>
      </c>
      <c r="N315" s="4">
        <v>4</v>
      </c>
    </row>
    <row r="316" spans="1:14" x14ac:dyDescent="0.25">
      <c r="A316" s="4">
        <v>262</v>
      </c>
      <c r="B316" s="4">
        <v>2</v>
      </c>
      <c r="C316" s="4">
        <v>5</v>
      </c>
      <c r="D316" s="4">
        <v>6</v>
      </c>
      <c r="E316" s="4">
        <v>7</v>
      </c>
      <c r="F316" s="4">
        <v>6</v>
      </c>
      <c r="G316" s="4">
        <v>6</v>
      </c>
      <c r="H316" s="4">
        <v>6</v>
      </c>
      <c r="I316" s="4">
        <v>3</v>
      </c>
      <c r="J316" s="4">
        <v>6</v>
      </c>
      <c r="K316" s="4">
        <v>3</v>
      </c>
      <c r="L316" s="4">
        <v>6</v>
      </c>
      <c r="M316" s="4">
        <v>5</v>
      </c>
      <c r="N316" s="4">
        <v>5</v>
      </c>
    </row>
    <row r="317" spans="1:14" x14ac:dyDescent="0.25">
      <c r="A317" s="4">
        <v>265</v>
      </c>
      <c r="B317" s="4">
        <v>2</v>
      </c>
      <c r="C317" s="4">
        <v>5</v>
      </c>
      <c r="D317" s="4">
        <v>3</v>
      </c>
      <c r="E317" s="4">
        <v>7</v>
      </c>
      <c r="F317" s="4">
        <v>3</v>
      </c>
      <c r="G317" s="4">
        <v>5</v>
      </c>
      <c r="H317" s="4">
        <v>7</v>
      </c>
      <c r="I317" s="4">
        <v>3</v>
      </c>
      <c r="J317" s="4">
        <v>6</v>
      </c>
      <c r="K317" s="4">
        <v>3</v>
      </c>
      <c r="L317" s="4">
        <v>4</v>
      </c>
      <c r="M317" s="4">
        <v>4</v>
      </c>
      <c r="N317" s="4">
        <v>4</v>
      </c>
    </row>
    <row r="318" spans="1:14" x14ac:dyDescent="0.25">
      <c r="A318" s="4">
        <v>266</v>
      </c>
      <c r="B318" s="4">
        <v>1</v>
      </c>
      <c r="C318" s="4">
        <v>4</v>
      </c>
      <c r="D318" s="4">
        <v>6</v>
      </c>
      <c r="E318" s="4">
        <v>5</v>
      </c>
      <c r="F318" s="4">
        <v>6</v>
      </c>
      <c r="G318" s="4">
        <v>4</v>
      </c>
      <c r="H318" s="4">
        <v>4</v>
      </c>
      <c r="I318" s="4">
        <v>1</v>
      </c>
      <c r="J318" s="4">
        <v>3</v>
      </c>
      <c r="K318" s="4">
        <v>3</v>
      </c>
      <c r="L318" s="4">
        <v>4</v>
      </c>
      <c r="M318" s="4">
        <v>4</v>
      </c>
      <c r="N318" s="4">
        <v>3</v>
      </c>
    </row>
    <row r="319" spans="1:14" x14ac:dyDescent="0.25">
      <c r="A319" s="4">
        <v>267</v>
      </c>
      <c r="B319" s="4">
        <v>4</v>
      </c>
      <c r="C319" s="4">
        <v>5</v>
      </c>
      <c r="D319" s="4">
        <v>6</v>
      </c>
      <c r="E319" s="4">
        <v>5</v>
      </c>
      <c r="F319" s="4">
        <v>6</v>
      </c>
      <c r="G319" s="4">
        <v>5</v>
      </c>
      <c r="H319" s="4">
        <v>5</v>
      </c>
      <c r="I319" s="4">
        <v>3</v>
      </c>
      <c r="J319" s="4">
        <v>5</v>
      </c>
      <c r="K319" s="4">
        <v>7</v>
      </c>
      <c r="L319" s="4">
        <v>5</v>
      </c>
      <c r="M319" s="4">
        <v>4</v>
      </c>
      <c r="N319" s="4">
        <v>4</v>
      </c>
    </row>
    <row r="320" spans="1:14" x14ac:dyDescent="0.25">
      <c r="A320" s="4">
        <v>268</v>
      </c>
      <c r="B320" s="4">
        <v>2</v>
      </c>
      <c r="C320" s="4">
        <v>4</v>
      </c>
      <c r="D320" s="4">
        <v>4</v>
      </c>
      <c r="E320" s="4">
        <v>6</v>
      </c>
      <c r="F320" s="4">
        <v>4</v>
      </c>
      <c r="G320" s="4">
        <v>4</v>
      </c>
      <c r="H320" s="4">
        <v>6</v>
      </c>
      <c r="I320" s="4">
        <v>4</v>
      </c>
      <c r="J320" s="4">
        <v>5</v>
      </c>
      <c r="K320" s="4">
        <v>4</v>
      </c>
      <c r="L320" s="4">
        <v>3</v>
      </c>
      <c r="M320" s="4">
        <v>3</v>
      </c>
      <c r="N320" s="4">
        <v>3</v>
      </c>
    </row>
    <row r="321" spans="1:14" x14ac:dyDescent="0.25">
      <c r="A321" s="4">
        <v>271</v>
      </c>
      <c r="B321" s="4">
        <v>4</v>
      </c>
      <c r="C321" s="4">
        <v>4</v>
      </c>
      <c r="D321" s="4">
        <v>5</v>
      </c>
      <c r="E321" s="4">
        <v>4</v>
      </c>
      <c r="F321" s="4">
        <v>5</v>
      </c>
      <c r="G321" s="4">
        <v>4</v>
      </c>
      <c r="H321" s="4">
        <v>4</v>
      </c>
      <c r="I321" s="4">
        <v>4</v>
      </c>
      <c r="J321" s="4">
        <v>3</v>
      </c>
      <c r="K321" s="4">
        <v>7</v>
      </c>
      <c r="L321" s="4">
        <v>4</v>
      </c>
      <c r="M321" s="4">
        <v>4</v>
      </c>
      <c r="N321" s="4">
        <v>3</v>
      </c>
    </row>
    <row r="322" spans="1:14" x14ac:dyDescent="0.25">
      <c r="A322" s="4">
        <v>274</v>
      </c>
      <c r="B322" s="4">
        <v>2</v>
      </c>
      <c r="C322" s="4">
        <v>5</v>
      </c>
      <c r="D322" s="4">
        <v>4</v>
      </c>
      <c r="E322" s="4">
        <v>5</v>
      </c>
      <c r="F322" s="4">
        <v>4</v>
      </c>
      <c r="G322" s="4">
        <v>5</v>
      </c>
      <c r="H322" s="4">
        <v>5</v>
      </c>
      <c r="I322" s="4">
        <v>3</v>
      </c>
      <c r="J322" s="4">
        <v>5</v>
      </c>
      <c r="K322" s="4">
        <v>3</v>
      </c>
      <c r="L322" s="4">
        <v>4</v>
      </c>
      <c r="M322" s="4">
        <v>5</v>
      </c>
      <c r="N322" s="4">
        <v>4</v>
      </c>
    </row>
    <row r="323" spans="1:14" x14ac:dyDescent="0.25">
      <c r="A323" s="4">
        <v>275</v>
      </c>
      <c r="B323" s="4">
        <v>4</v>
      </c>
      <c r="C323" s="4">
        <v>4</v>
      </c>
      <c r="D323" s="4">
        <v>3</v>
      </c>
      <c r="E323" s="4">
        <v>4</v>
      </c>
      <c r="F323" s="4">
        <v>3</v>
      </c>
      <c r="G323" s="4">
        <v>4</v>
      </c>
      <c r="H323" s="4">
        <v>4</v>
      </c>
      <c r="I323" s="4">
        <v>2</v>
      </c>
      <c r="J323" s="4">
        <v>4</v>
      </c>
      <c r="K323" s="4">
        <v>7</v>
      </c>
      <c r="L323" s="4">
        <v>4</v>
      </c>
      <c r="M323" s="4">
        <v>3</v>
      </c>
      <c r="N323" s="4">
        <v>2</v>
      </c>
    </row>
    <row r="324" spans="1:14" x14ac:dyDescent="0.25">
      <c r="A324" s="4">
        <v>276</v>
      </c>
      <c r="B324" s="4">
        <v>3</v>
      </c>
      <c r="C324" s="4">
        <v>3</v>
      </c>
      <c r="D324" s="4">
        <v>2</v>
      </c>
      <c r="E324" s="4">
        <v>4</v>
      </c>
      <c r="F324" s="4">
        <v>2</v>
      </c>
      <c r="G324" s="4">
        <v>3</v>
      </c>
      <c r="H324" s="4">
        <v>4</v>
      </c>
      <c r="I324" s="4">
        <v>3</v>
      </c>
      <c r="J324" s="4">
        <v>3</v>
      </c>
      <c r="K324" s="4">
        <v>7</v>
      </c>
      <c r="L324" s="4">
        <v>4</v>
      </c>
      <c r="M324" s="4">
        <v>4</v>
      </c>
      <c r="N324" s="4">
        <v>3</v>
      </c>
    </row>
    <row r="325" spans="1:14" x14ac:dyDescent="0.25">
      <c r="A325" s="4">
        <v>277</v>
      </c>
      <c r="B325" s="4">
        <v>4</v>
      </c>
      <c r="C325" s="4">
        <v>5</v>
      </c>
      <c r="D325" s="4">
        <v>6</v>
      </c>
      <c r="E325" s="4">
        <v>7</v>
      </c>
      <c r="F325" s="4">
        <v>6</v>
      </c>
      <c r="G325" s="4">
        <v>5</v>
      </c>
      <c r="H325" s="4">
        <v>5</v>
      </c>
      <c r="I325" s="4">
        <v>6</v>
      </c>
      <c r="J325" s="4">
        <v>5</v>
      </c>
      <c r="K325" s="4">
        <v>4</v>
      </c>
      <c r="L325" s="4">
        <v>6</v>
      </c>
      <c r="M325" s="4">
        <v>5</v>
      </c>
      <c r="N325" s="4">
        <v>5</v>
      </c>
    </row>
    <row r="326" spans="1:14" x14ac:dyDescent="0.25">
      <c r="A326" s="4">
        <v>279</v>
      </c>
      <c r="B326" s="4">
        <v>4</v>
      </c>
      <c r="C326" s="4">
        <v>5</v>
      </c>
      <c r="D326" s="4">
        <v>6</v>
      </c>
      <c r="E326" s="4">
        <v>5</v>
      </c>
      <c r="F326" s="4">
        <v>5</v>
      </c>
      <c r="G326" s="4">
        <v>5</v>
      </c>
      <c r="H326" s="4">
        <v>5</v>
      </c>
      <c r="I326" s="4">
        <v>7</v>
      </c>
      <c r="J326" s="4">
        <v>5</v>
      </c>
      <c r="K326" s="4">
        <v>7</v>
      </c>
      <c r="L326" s="4">
        <v>5</v>
      </c>
      <c r="M326" s="4">
        <v>4</v>
      </c>
      <c r="N326" s="4">
        <v>4</v>
      </c>
    </row>
    <row r="327" spans="1:14" x14ac:dyDescent="0.25">
      <c r="A327" s="4">
        <v>280</v>
      </c>
      <c r="B327" s="4">
        <v>3</v>
      </c>
      <c r="C327" s="4">
        <v>5</v>
      </c>
      <c r="D327" s="4">
        <v>6</v>
      </c>
      <c r="E327" s="4">
        <v>4</v>
      </c>
      <c r="F327" s="4">
        <v>6</v>
      </c>
      <c r="G327" s="4">
        <v>5</v>
      </c>
      <c r="H327" s="4">
        <v>5</v>
      </c>
      <c r="I327" s="4">
        <v>4</v>
      </c>
      <c r="J327" s="4">
        <v>5</v>
      </c>
      <c r="K327" s="4">
        <v>4</v>
      </c>
      <c r="L327" s="4">
        <v>4</v>
      </c>
      <c r="M327" s="4">
        <v>4</v>
      </c>
      <c r="N327" s="4">
        <v>3</v>
      </c>
    </row>
    <row r="328" spans="1:14" x14ac:dyDescent="0.25">
      <c r="A328" s="4">
        <v>281</v>
      </c>
      <c r="B328" s="4">
        <v>4</v>
      </c>
      <c r="C328" s="4">
        <v>5</v>
      </c>
      <c r="D328" s="4">
        <v>5</v>
      </c>
      <c r="E328" s="4">
        <v>4</v>
      </c>
      <c r="F328" s="4">
        <v>4</v>
      </c>
      <c r="G328" s="4">
        <v>5</v>
      </c>
      <c r="H328" s="4">
        <v>4</v>
      </c>
      <c r="I328" s="4">
        <v>4</v>
      </c>
      <c r="J328" s="4">
        <v>3</v>
      </c>
      <c r="K328" s="4">
        <v>7</v>
      </c>
      <c r="L328" s="4">
        <v>4</v>
      </c>
      <c r="M328" s="4">
        <v>4</v>
      </c>
      <c r="N328" s="4">
        <v>3</v>
      </c>
    </row>
    <row r="329" spans="1:14" x14ac:dyDescent="0.25">
      <c r="A329" s="4">
        <v>282</v>
      </c>
      <c r="B329" s="4">
        <v>2</v>
      </c>
      <c r="C329" s="4">
        <v>4</v>
      </c>
      <c r="D329" s="4">
        <v>2</v>
      </c>
      <c r="E329" s="4">
        <v>5</v>
      </c>
      <c r="F329" s="4">
        <v>2</v>
      </c>
      <c r="G329" s="4">
        <v>6</v>
      </c>
      <c r="H329" s="4">
        <v>4</v>
      </c>
      <c r="I329" s="4">
        <v>4</v>
      </c>
      <c r="J329" s="4">
        <v>5</v>
      </c>
      <c r="K329" s="4">
        <v>4</v>
      </c>
      <c r="L329" s="4">
        <v>3</v>
      </c>
      <c r="M329" s="4">
        <v>3</v>
      </c>
      <c r="N329" s="4">
        <v>2</v>
      </c>
    </row>
    <row r="330" spans="1:14" x14ac:dyDescent="0.25">
      <c r="A330" s="4">
        <v>284</v>
      </c>
      <c r="B330" s="4">
        <v>3</v>
      </c>
      <c r="C330" s="4">
        <v>4</v>
      </c>
      <c r="D330" s="4">
        <v>5</v>
      </c>
      <c r="E330" s="4">
        <v>4</v>
      </c>
      <c r="F330" s="4">
        <v>5</v>
      </c>
      <c r="G330" s="4">
        <v>5</v>
      </c>
      <c r="H330" s="4">
        <v>4</v>
      </c>
      <c r="I330" s="4">
        <v>4</v>
      </c>
      <c r="J330" s="4">
        <v>5</v>
      </c>
      <c r="K330" s="4">
        <v>4</v>
      </c>
      <c r="L330" s="4">
        <v>4</v>
      </c>
      <c r="M330" s="4">
        <v>4</v>
      </c>
      <c r="N330" s="4">
        <v>3</v>
      </c>
    </row>
    <row r="331" spans="1:14" x14ac:dyDescent="0.25">
      <c r="A331" s="4">
        <v>285</v>
      </c>
      <c r="B331" s="4">
        <v>3</v>
      </c>
      <c r="C331" s="4">
        <v>4</v>
      </c>
      <c r="D331" s="4">
        <v>2</v>
      </c>
      <c r="E331" s="4">
        <v>4</v>
      </c>
      <c r="F331" s="4">
        <v>2</v>
      </c>
      <c r="G331" s="4">
        <v>3</v>
      </c>
      <c r="H331" s="4">
        <v>4</v>
      </c>
      <c r="I331" s="4">
        <v>4</v>
      </c>
      <c r="J331" s="4">
        <v>3</v>
      </c>
      <c r="K331" s="4">
        <v>4</v>
      </c>
      <c r="L331" s="4">
        <v>4</v>
      </c>
      <c r="M331" s="4">
        <v>3</v>
      </c>
      <c r="N331" s="4">
        <v>3</v>
      </c>
    </row>
    <row r="332" spans="1:14" x14ac:dyDescent="0.25">
      <c r="A332" s="4">
        <v>286</v>
      </c>
      <c r="B332" s="4">
        <v>4</v>
      </c>
      <c r="C332" s="4">
        <v>6</v>
      </c>
      <c r="D332" s="4">
        <v>6</v>
      </c>
      <c r="E332" s="4">
        <v>5</v>
      </c>
      <c r="F332" s="4">
        <v>6</v>
      </c>
      <c r="G332" s="4">
        <v>6</v>
      </c>
      <c r="H332" s="4">
        <v>5</v>
      </c>
      <c r="I332" s="4">
        <v>7</v>
      </c>
      <c r="J332" s="4">
        <v>3</v>
      </c>
      <c r="K332" s="4">
        <v>7</v>
      </c>
      <c r="L332" s="4">
        <v>6</v>
      </c>
      <c r="M332" s="4">
        <v>6</v>
      </c>
      <c r="N332" s="4">
        <v>5</v>
      </c>
    </row>
    <row r="333" spans="1:14" x14ac:dyDescent="0.25">
      <c r="A333" s="4">
        <v>287</v>
      </c>
      <c r="B333" s="4">
        <v>2</v>
      </c>
      <c r="C333" s="4">
        <v>5</v>
      </c>
      <c r="D333" s="4">
        <v>6</v>
      </c>
      <c r="E333" s="4">
        <v>4</v>
      </c>
      <c r="F333" s="4">
        <v>5</v>
      </c>
      <c r="G333" s="4">
        <v>5</v>
      </c>
      <c r="H333" s="4">
        <v>3</v>
      </c>
      <c r="I333" s="4">
        <v>1</v>
      </c>
      <c r="J333" s="4">
        <v>2</v>
      </c>
      <c r="K333" s="4">
        <v>1</v>
      </c>
      <c r="L333" s="4">
        <v>3</v>
      </c>
      <c r="M333" s="4">
        <v>3</v>
      </c>
      <c r="N333" s="4">
        <v>3</v>
      </c>
    </row>
    <row r="334" spans="1:14" x14ac:dyDescent="0.25">
      <c r="A334" s="4">
        <v>288</v>
      </c>
      <c r="B334" s="4">
        <v>3</v>
      </c>
      <c r="C334" s="4">
        <v>5</v>
      </c>
      <c r="D334" s="4">
        <v>2</v>
      </c>
      <c r="E334" s="4">
        <v>5</v>
      </c>
      <c r="F334" s="4">
        <v>2</v>
      </c>
      <c r="G334" s="4">
        <v>5</v>
      </c>
      <c r="H334" s="4">
        <v>5</v>
      </c>
      <c r="I334" s="4">
        <v>2</v>
      </c>
      <c r="J334" s="4">
        <v>4</v>
      </c>
      <c r="K334" s="4">
        <v>2</v>
      </c>
      <c r="L334" s="4">
        <v>4</v>
      </c>
      <c r="M334" s="4">
        <v>4</v>
      </c>
      <c r="N334" s="4">
        <v>3</v>
      </c>
    </row>
    <row r="335" spans="1:14" x14ac:dyDescent="0.25">
      <c r="A335" s="4">
        <v>292</v>
      </c>
      <c r="B335" s="4">
        <v>4</v>
      </c>
      <c r="C335" s="4">
        <v>5</v>
      </c>
      <c r="D335" s="4">
        <v>6</v>
      </c>
      <c r="E335" s="4">
        <v>6</v>
      </c>
      <c r="F335" s="4">
        <v>6</v>
      </c>
      <c r="G335" s="4">
        <v>4</v>
      </c>
      <c r="H335" s="4">
        <v>4</v>
      </c>
      <c r="I335" s="4">
        <v>3</v>
      </c>
      <c r="J335" s="4">
        <v>4</v>
      </c>
      <c r="K335" s="4">
        <v>7</v>
      </c>
      <c r="L335" s="4">
        <v>6</v>
      </c>
      <c r="M335" s="4">
        <v>5</v>
      </c>
      <c r="N335" s="4">
        <v>5</v>
      </c>
    </row>
    <row r="336" spans="1:14" x14ac:dyDescent="0.25">
      <c r="A336" s="4">
        <v>293</v>
      </c>
      <c r="B336" s="4">
        <v>2</v>
      </c>
      <c r="C336" s="4">
        <v>4</v>
      </c>
      <c r="D336" s="4">
        <v>2</v>
      </c>
      <c r="E336" s="4">
        <v>5</v>
      </c>
      <c r="F336" s="4">
        <v>2</v>
      </c>
      <c r="G336" s="4">
        <v>4</v>
      </c>
      <c r="H336" s="4">
        <v>5</v>
      </c>
      <c r="I336" s="4">
        <v>3</v>
      </c>
      <c r="J336" s="4">
        <v>5</v>
      </c>
      <c r="K336" s="4">
        <v>3</v>
      </c>
      <c r="L336" s="4">
        <v>5</v>
      </c>
      <c r="M336" s="4">
        <v>4</v>
      </c>
      <c r="N336" s="4">
        <v>4</v>
      </c>
    </row>
    <row r="337" spans="1:14" x14ac:dyDescent="0.25">
      <c r="A337" s="4">
        <v>294</v>
      </c>
      <c r="B337" s="4">
        <v>4</v>
      </c>
      <c r="C337" s="4">
        <v>5</v>
      </c>
      <c r="D337" s="4">
        <v>6</v>
      </c>
      <c r="E337" s="4">
        <v>7</v>
      </c>
      <c r="F337" s="4">
        <v>5</v>
      </c>
      <c r="G337" s="4">
        <v>4</v>
      </c>
      <c r="H337" s="4">
        <v>5</v>
      </c>
      <c r="I337" s="4">
        <v>3</v>
      </c>
      <c r="J337" s="4">
        <v>5</v>
      </c>
      <c r="K337" s="4">
        <v>7</v>
      </c>
      <c r="L337" s="4">
        <v>6</v>
      </c>
      <c r="M337" s="4">
        <v>4</v>
      </c>
      <c r="N337" s="4">
        <v>4</v>
      </c>
    </row>
    <row r="338" spans="1:14" x14ac:dyDescent="0.25">
      <c r="A338" s="4">
        <v>295</v>
      </c>
      <c r="B338" s="4">
        <v>2</v>
      </c>
      <c r="C338" s="4">
        <v>5</v>
      </c>
      <c r="D338" s="4">
        <v>6</v>
      </c>
      <c r="E338" s="4">
        <v>7</v>
      </c>
      <c r="F338" s="4">
        <v>6</v>
      </c>
      <c r="G338" s="4">
        <v>4</v>
      </c>
      <c r="H338" s="4">
        <v>6</v>
      </c>
      <c r="I338" s="4">
        <v>3</v>
      </c>
      <c r="J338" s="4">
        <v>6</v>
      </c>
      <c r="K338" s="4">
        <v>3</v>
      </c>
      <c r="L338" s="4">
        <v>6</v>
      </c>
      <c r="M338" s="4">
        <v>5</v>
      </c>
      <c r="N338" s="4">
        <v>5</v>
      </c>
    </row>
    <row r="339" spans="1:14" x14ac:dyDescent="0.25">
      <c r="A339" s="4">
        <v>298</v>
      </c>
      <c r="B339" s="4">
        <v>2</v>
      </c>
      <c r="C339" s="4">
        <v>5</v>
      </c>
      <c r="D339" s="4">
        <v>6</v>
      </c>
      <c r="E339" s="4">
        <v>6</v>
      </c>
      <c r="F339" s="4">
        <v>6</v>
      </c>
      <c r="G339" s="4">
        <v>5</v>
      </c>
      <c r="H339" s="4">
        <v>6</v>
      </c>
      <c r="I339" s="4">
        <v>3</v>
      </c>
      <c r="J339" s="4">
        <v>4</v>
      </c>
      <c r="K339" s="4">
        <v>3</v>
      </c>
      <c r="L339" s="4">
        <v>4</v>
      </c>
      <c r="M339" s="4">
        <v>4</v>
      </c>
      <c r="N339" s="4">
        <v>3</v>
      </c>
    </row>
    <row r="340" spans="1:14" x14ac:dyDescent="0.25">
      <c r="A340" s="4">
        <v>299</v>
      </c>
      <c r="B340" s="4">
        <v>2</v>
      </c>
      <c r="C340" s="4">
        <v>6</v>
      </c>
      <c r="D340" s="4">
        <v>4</v>
      </c>
      <c r="E340" s="4">
        <v>7</v>
      </c>
      <c r="F340" s="4">
        <v>4</v>
      </c>
      <c r="G340" s="4">
        <v>6</v>
      </c>
      <c r="H340" s="4">
        <v>6</v>
      </c>
      <c r="I340" s="4">
        <v>3</v>
      </c>
      <c r="J340" s="4">
        <v>5</v>
      </c>
      <c r="K340" s="4">
        <v>3</v>
      </c>
      <c r="L340" s="4">
        <v>5</v>
      </c>
      <c r="M340" s="4">
        <v>5</v>
      </c>
      <c r="N340" s="4">
        <v>4</v>
      </c>
    </row>
    <row r="341" spans="1:14" x14ac:dyDescent="0.25">
      <c r="A341" s="4">
        <v>301</v>
      </c>
      <c r="B341" s="4">
        <v>2</v>
      </c>
      <c r="C341" s="4">
        <v>6</v>
      </c>
      <c r="D341" s="4">
        <v>5</v>
      </c>
      <c r="E341" s="4">
        <v>7</v>
      </c>
      <c r="F341" s="4">
        <v>5</v>
      </c>
      <c r="G341" s="4">
        <v>3</v>
      </c>
      <c r="H341" s="4">
        <v>7</v>
      </c>
      <c r="I341" s="4">
        <v>6</v>
      </c>
      <c r="J341" s="4">
        <v>5</v>
      </c>
      <c r="K341" s="4">
        <v>3</v>
      </c>
      <c r="L341" s="4">
        <v>5</v>
      </c>
      <c r="M341" s="4">
        <v>5</v>
      </c>
      <c r="N341" s="4">
        <v>4</v>
      </c>
    </row>
    <row r="342" spans="1:14" x14ac:dyDescent="0.25">
      <c r="A342" s="4">
        <v>303</v>
      </c>
      <c r="B342" s="4">
        <v>2</v>
      </c>
      <c r="C342" s="4">
        <v>4</v>
      </c>
      <c r="D342" s="4">
        <v>6</v>
      </c>
      <c r="E342" s="4">
        <v>7</v>
      </c>
      <c r="F342" s="4">
        <v>5</v>
      </c>
      <c r="G342" s="4">
        <v>6</v>
      </c>
      <c r="H342" s="4">
        <v>6</v>
      </c>
      <c r="I342" s="4">
        <v>3</v>
      </c>
      <c r="J342" s="4">
        <v>7</v>
      </c>
      <c r="K342" s="4">
        <v>3</v>
      </c>
      <c r="L342" s="4">
        <v>6</v>
      </c>
      <c r="M342" s="4">
        <v>5</v>
      </c>
      <c r="N342" s="4">
        <v>3</v>
      </c>
    </row>
    <row r="343" spans="1:14" x14ac:dyDescent="0.25">
      <c r="A343" s="4">
        <v>308</v>
      </c>
      <c r="B343" s="4">
        <v>2</v>
      </c>
      <c r="C343" s="4">
        <v>5</v>
      </c>
      <c r="D343" s="4">
        <v>3</v>
      </c>
      <c r="E343" s="4">
        <v>5</v>
      </c>
      <c r="F343" s="4">
        <v>3</v>
      </c>
      <c r="G343" s="4">
        <v>5</v>
      </c>
      <c r="H343" s="4">
        <v>5</v>
      </c>
      <c r="I343" s="4">
        <v>3</v>
      </c>
      <c r="J343" s="4">
        <v>4</v>
      </c>
      <c r="K343" s="4">
        <v>3</v>
      </c>
      <c r="L343" s="4">
        <v>4</v>
      </c>
      <c r="M343" s="4">
        <v>4</v>
      </c>
      <c r="N343" s="4">
        <v>4</v>
      </c>
    </row>
    <row r="344" spans="1:14" x14ac:dyDescent="0.25">
      <c r="A344" s="4">
        <v>309</v>
      </c>
      <c r="B344" s="4">
        <v>4</v>
      </c>
      <c r="C344" s="4">
        <v>6</v>
      </c>
      <c r="D344" s="4">
        <v>6</v>
      </c>
      <c r="E344" s="4">
        <v>5</v>
      </c>
      <c r="F344" s="4">
        <v>6</v>
      </c>
      <c r="G344" s="4">
        <v>6</v>
      </c>
      <c r="H344" s="4">
        <v>5</v>
      </c>
      <c r="I344" s="4">
        <v>4</v>
      </c>
      <c r="J344" s="4">
        <v>5</v>
      </c>
      <c r="K344" s="4">
        <v>7</v>
      </c>
      <c r="L344" s="4">
        <v>5</v>
      </c>
      <c r="M344" s="4">
        <v>5</v>
      </c>
      <c r="N344" s="4">
        <v>4</v>
      </c>
    </row>
    <row r="345" spans="1:14" x14ac:dyDescent="0.25">
      <c r="A345" s="4">
        <v>310</v>
      </c>
      <c r="B345" s="4">
        <v>2</v>
      </c>
      <c r="C345" s="4">
        <v>4</v>
      </c>
      <c r="D345" s="4">
        <v>4</v>
      </c>
      <c r="E345" s="4">
        <v>5</v>
      </c>
      <c r="F345" s="4">
        <v>4</v>
      </c>
      <c r="G345" s="4">
        <v>5</v>
      </c>
      <c r="H345" s="4">
        <v>5</v>
      </c>
      <c r="I345" s="4">
        <v>4</v>
      </c>
      <c r="J345" s="4">
        <v>5</v>
      </c>
      <c r="K345" s="4">
        <v>4</v>
      </c>
      <c r="L345" s="4">
        <v>3</v>
      </c>
      <c r="M345" s="4">
        <v>3</v>
      </c>
      <c r="N345" s="4">
        <v>3</v>
      </c>
    </row>
    <row r="346" spans="1:14" x14ac:dyDescent="0.25">
      <c r="A346" s="4">
        <v>313</v>
      </c>
      <c r="B346" s="4">
        <v>3</v>
      </c>
      <c r="C346" s="4">
        <v>5</v>
      </c>
      <c r="D346" s="4">
        <v>5</v>
      </c>
      <c r="E346" s="4">
        <v>4</v>
      </c>
      <c r="F346" s="4">
        <v>5</v>
      </c>
      <c r="G346" s="4">
        <v>5</v>
      </c>
      <c r="H346" s="4">
        <v>4</v>
      </c>
      <c r="I346" s="4">
        <v>3</v>
      </c>
      <c r="J346" s="4">
        <v>4</v>
      </c>
      <c r="K346" s="4">
        <v>7</v>
      </c>
      <c r="L346" s="4">
        <v>4</v>
      </c>
      <c r="M346" s="4">
        <v>4</v>
      </c>
      <c r="N346" s="4">
        <v>3</v>
      </c>
    </row>
    <row r="347" spans="1:14" x14ac:dyDescent="0.25">
      <c r="A347" s="4">
        <v>314</v>
      </c>
      <c r="B347" s="4">
        <v>2</v>
      </c>
      <c r="C347" s="4">
        <v>5</v>
      </c>
      <c r="D347" s="4">
        <v>4</v>
      </c>
      <c r="E347" s="4">
        <v>5</v>
      </c>
      <c r="F347" s="4">
        <v>4</v>
      </c>
      <c r="G347" s="4">
        <v>5</v>
      </c>
      <c r="H347" s="4">
        <v>5</v>
      </c>
      <c r="I347" s="4">
        <v>3</v>
      </c>
      <c r="J347" s="4">
        <v>5</v>
      </c>
      <c r="K347" s="4">
        <v>3</v>
      </c>
      <c r="L347" s="4">
        <v>4</v>
      </c>
      <c r="M347" s="4">
        <v>5</v>
      </c>
      <c r="N347" s="4">
        <v>5</v>
      </c>
    </row>
    <row r="348" spans="1:14" x14ac:dyDescent="0.25">
      <c r="A348" s="4">
        <v>315</v>
      </c>
      <c r="B348" s="4">
        <v>4</v>
      </c>
      <c r="C348" s="4">
        <v>5</v>
      </c>
      <c r="D348" s="4">
        <v>3</v>
      </c>
      <c r="E348" s="4">
        <v>4</v>
      </c>
      <c r="F348" s="4">
        <v>3</v>
      </c>
      <c r="G348" s="4">
        <v>6</v>
      </c>
      <c r="H348" s="4">
        <v>4</v>
      </c>
      <c r="I348" s="4">
        <v>2</v>
      </c>
      <c r="J348" s="4">
        <v>4</v>
      </c>
      <c r="K348" s="4">
        <v>7</v>
      </c>
      <c r="L348" s="4">
        <v>4</v>
      </c>
      <c r="M348" s="4">
        <v>3</v>
      </c>
      <c r="N348" s="4">
        <v>2</v>
      </c>
    </row>
    <row r="349" spans="1:14" x14ac:dyDescent="0.25">
      <c r="A349" s="4">
        <v>316</v>
      </c>
      <c r="B349" s="4">
        <v>4</v>
      </c>
      <c r="C349" s="4">
        <v>5</v>
      </c>
      <c r="D349" s="4">
        <v>6</v>
      </c>
      <c r="E349" s="4">
        <v>7</v>
      </c>
      <c r="F349" s="4">
        <v>6</v>
      </c>
      <c r="G349" s="4">
        <v>7</v>
      </c>
      <c r="H349" s="4">
        <v>5</v>
      </c>
      <c r="I349" s="4">
        <v>4</v>
      </c>
      <c r="J349" s="4">
        <v>5</v>
      </c>
      <c r="K349" s="4">
        <v>4</v>
      </c>
      <c r="L349" s="4">
        <v>6</v>
      </c>
      <c r="M349" s="4">
        <v>5</v>
      </c>
      <c r="N349" s="4">
        <v>5</v>
      </c>
    </row>
    <row r="350" spans="1:14" x14ac:dyDescent="0.25">
      <c r="A350" s="4">
        <v>317</v>
      </c>
      <c r="B350" s="4">
        <v>4</v>
      </c>
      <c r="C350" s="4">
        <v>5</v>
      </c>
      <c r="D350" s="4">
        <v>5</v>
      </c>
      <c r="E350" s="4">
        <v>4</v>
      </c>
      <c r="F350" s="4">
        <v>4</v>
      </c>
      <c r="G350" s="4">
        <v>5</v>
      </c>
      <c r="H350" s="4">
        <v>4</v>
      </c>
      <c r="I350" s="4">
        <v>4</v>
      </c>
      <c r="J350" s="4">
        <v>3</v>
      </c>
      <c r="K350" s="4">
        <v>7</v>
      </c>
      <c r="L350" s="4">
        <v>4</v>
      </c>
      <c r="M350" s="4">
        <v>4</v>
      </c>
      <c r="N350" s="4">
        <v>3</v>
      </c>
    </row>
    <row r="351" spans="1:14" x14ac:dyDescent="0.25">
      <c r="A351" s="4">
        <v>319</v>
      </c>
      <c r="B351" s="4">
        <v>3</v>
      </c>
      <c r="C351" s="4">
        <v>5</v>
      </c>
      <c r="D351" s="4">
        <v>5</v>
      </c>
      <c r="E351" s="4">
        <v>4</v>
      </c>
      <c r="F351" s="4">
        <v>5</v>
      </c>
      <c r="G351" s="4">
        <v>5</v>
      </c>
      <c r="H351" s="4">
        <v>4</v>
      </c>
      <c r="I351" s="4">
        <v>4</v>
      </c>
      <c r="J351" s="4">
        <v>3</v>
      </c>
      <c r="K351" s="4">
        <v>4</v>
      </c>
      <c r="L351" s="4">
        <v>4</v>
      </c>
      <c r="M351" s="4">
        <v>4</v>
      </c>
      <c r="N351" s="4">
        <v>3</v>
      </c>
    </row>
    <row r="352" spans="1:14" x14ac:dyDescent="0.25">
      <c r="A352" s="4">
        <v>320</v>
      </c>
      <c r="B352" s="4">
        <v>4</v>
      </c>
      <c r="C352" s="4">
        <v>6</v>
      </c>
      <c r="D352" s="4">
        <v>6</v>
      </c>
      <c r="E352" s="4">
        <v>5</v>
      </c>
      <c r="F352" s="4">
        <v>6</v>
      </c>
      <c r="G352" s="4">
        <v>6</v>
      </c>
      <c r="H352" s="4">
        <v>5</v>
      </c>
      <c r="I352" s="4">
        <v>4</v>
      </c>
      <c r="J352" s="4">
        <v>3</v>
      </c>
      <c r="K352" s="4">
        <v>7</v>
      </c>
      <c r="L352" s="4">
        <v>5</v>
      </c>
      <c r="M352" s="4">
        <v>5</v>
      </c>
      <c r="N352" s="4">
        <v>4</v>
      </c>
    </row>
    <row r="353" spans="1:14" x14ac:dyDescent="0.25">
      <c r="A353" s="4">
        <v>321</v>
      </c>
      <c r="B353" s="4">
        <v>4</v>
      </c>
      <c r="C353" s="4">
        <v>6</v>
      </c>
      <c r="D353" s="4">
        <v>6</v>
      </c>
      <c r="E353" s="4">
        <v>5</v>
      </c>
      <c r="F353" s="4">
        <v>6</v>
      </c>
      <c r="G353" s="4">
        <v>6</v>
      </c>
      <c r="H353" s="4">
        <v>5</v>
      </c>
      <c r="I353" s="4">
        <v>4</v>
      </c>
      <c r="J353" s="4">
        <v>3</v>
      </c>
      <c r="K353" s="4">
        <v>7</v>
      </c>
      <c r="L353" s="4">
        <v>5</v>
      </c>
      <c r="M353" s="4">
        <v>5</v>
      </c>
      <c r="N353" s="4">
        <v>4</v>
      </c>
    </row>
    <row r="354" spans="1:14" x14ac:dyDescent="0.25">
      <c r="A354" s="4">
        <v>322</v>
      </c>
      <c r="B354" s="4">
        <v>2</v>
      </c>
      <c r="C354" s="4">
        <v>5</v>
      </c>
      <c r="D354" s="4">
        <v>6</v>
      </c>
      <c r="E354" s="4">
        <v>4</v>
      </c>
      <c r="F354" s="4">
        <v>5</v>
      </c>
      <c r="G354" s="4">
        <v>4</v>
      </c>
      <c r="H354" s="4">
        <v>3</v>
      </c>
      <c r="I354" s="4">
        <v>1</v>
      </c>
      <c r="J354" s="4">
        <v>2</v>
      </c>
      <c r="K354" s="4">
        <v>3</v>
      </c>
      <c r="L354" s="4">
        <v>3</v>
      </c>
      <c r="M354" s="4">
        <v>2</v>
      </c>
      <c r="N354" s="4">
        <v>2</v>
      </c>
    </row>
    <row r="355" spans="1:14" x14ac:dyDescent="0.25">
      <c r="A355" s="4">
        <v>325</v>
      </c>
      <c r="B355" s="4">
        <v>4</v>
      </c>
      <c r="C355" s="4">
        <v>5</v>
      </c>
      <c r="D355" s="4">
        <v>6</v>
      </c>
      <c r="E355" s="4">
        <v>7</v>
      </c>
      <c r="F355" s="4">
        <v>5</v>
      </c>
      <c r="G355" s="4">
        <v>6</v>
      </c>
      <c r="H355" s="4">
        <v>5</v>
      </c>
      <c r="I355" s="4">
        <v>3</v>
      </c>
      <c r="J355" s="4">
        <v>5</v>
      </c>
      <c r="K355" s="4">
        <v>7</v>
      </c>
      <c r="L355" s="4">
        <v>6</v>
      </c>
      <c r="M355" s="4">
        <v>5</v>
      </c>
      <c r="N355" s="4">
        <v>4</v>
      </c>
    </row>
    <row r="356" spans="1:14" x14ac:dyDescent="0.25">
      <c r="A356" s="4">
        <v>326</v>
      </c>
      <c r="B356" s="4">
        <v>2</v>
      </c>
      <c r="C356" s="4">
        <v>5</v>
      </c>
      <c r="D356" s="4">
        <v>6</v>
      </c>
      <c r="E356" s="4">
        <v>7</v>
      </c>
      <c r="F356" s="4">
        <v>6</v>
      </c>
      <c r="G356" s="4">
        <v>6</v>
      </c>
      <c r="H356" s="4">
        <v>6</v>
      </c>
      <c r="I356" s="4">
        <v>3</v>
      </c>
      <c r="J356" s="4">
        <v>6</v>
      </c>
      <c r="K356" s="4">
        <v>3</v>
      </c>
      <c r="L356" s="4">
        <v>6</v>
      </c>
      <c r="M356" s="4">
        <v>5</v>
      </c>
      <c r="N356" s="4">
        <v>5</v>
      </c>
    </row>
    <row r="357" spans="1:14" x14ac:dyDescent="0.25">
      <c r="A357" s="4">
        <v>329</v>
      </c>
      <c r="B357" s="4">
        <v>2</v>
      </c>
      <c r="C357" s="4">
        <v>5</v>
      </c>
      <c r="D357" s="4">
        <v>3</v>
      </c>
      <c r="E357" s="4">
        <v>7</v>
      </c>
      <c r="F357" s="4">
        <v>3</v>
      </c>
      <c r="G357" s="4">
        <v>5</v>
      </c>
      <c r="H357" s="4">
        <v>7</v>
      </c>
      <c r="I357" s="4">
        <v>3</v>
      </c>
      <c r="J357" s="4">
        <v>6</v>
      </c>
      <c r="K357" s="4">
        <v>3</v>
      </c>
      <c r="L357" s="4">
        <v>4</v>
      </c>
      <c r="M357" s="4">
        <v>4</v>
      </c>
      <c r="N357" s="4">
        <v>4</v>
      </c>
    </row>
    <row r="358" spans="1:14" x14ac:dyDescent="0.25">
      <c r="A358" s="4">
        <v>330</v>
      </c>
      <c r="B358" s="4">
        <v>1</v>
      </c>
      <c r="C358" s="4">
        <v>4</v>
      </c>
      <c r="D358" s="4">
        <v>6</v>
      </c>
      <c r="E358" s="4">
        <v>5</v>
      </c>
      <c r="F358" s="4">
        <v>6</v>
      </c>
      <c r="G358" s="4">
        <v>4</v>
      </c>
      <c r="H358" s="4">
        <v>4</v>
      </c>
      <c r="I358" s="4">
        <v>1</v>
      </c>
      <c r="J358" s="4">
        <v>3</v>
      </c>
      <c r="K358" s="4">
        <v>3</v>
      </c>
      <c r="L358" s="4">
        <v>4</v>
      </c>
      <c r="M358" s="4">
        <v>4</v>
      </c>
      <c r="N358" s="4">
        <v>3</v>
      </c>
    </row>
    <row r="359" spans="1:14" x14ac:dyDescent="0.25">
      <c r="A359" s="4">
        <v>331</v>
      </c>
      <c r="B359" s="4">
        <v>4</v>
      </c>
      <c r="C359" s="4">
        <v>5</v>
      </c>
      <c r="D359" s="4">
        <v>6</v>
      </c>
      <c r="E359" s="4">
        <v>5</v>
      </c>
      <c r="F359" s="4">
        <v>6</v>
      </c>
      <c r="G359" s="4">
        <v>5</v>
      </c>
      <c r="H359" s="4">
        <v>5</v>
      </c>
      <c r="I359" s="4">
        <v>3</v>
      </c>
      <c r="J359" s="4">
        <v>5</v>
      </c>
      <c r="K359" s="4">
        <v>7</v>
      </c>
      <c r="L359" s="4">
        <v>5</v>
      </c>
      <c r="M359" s="4">
        <v>4</v>
      </c>
      <c r="N359" s="4">
        <v>4</v>
      </c>
    </row>
    <row r="360" spans="1:14" x14ac:dyDescent="0.25">
      <c r="A360" s="4">
        <v>332</v>
      </c>
      <c r="B360" s="4">
        <v>2</v>
      </c>
      <c r="C360" s="4">
        <v>4</v>
      </c>
      <c r="D360" s="4">
        <v>4</v>
      </c>
      <c r="E360" s="4">
        <v>6</v>
      </c>
      <c r="F360" s="4">
        <v>4</v>
      </c>
      <c r="G360" s="4">
        <v>4</v>
      </c>
      <c r="H360" s="4">
        <v>6</v>
      </c>
      <c r="I360" s="4">
        <v>2</v>
      </c>
      <c r="J360" s="4">
        <v>5</v>
      </c>
      <c r="K360" s="4">
        <v>4</v>
      </c>
      <c r="L360" s="4">
        <v>3</v>
      </c>
      <c r="M360" s="4">
        <v>3</v>
      </c>
      <c r="N360" s="4">
        <v>3</v>
      </c>
    </row>
    <row r="361" spans="1:14" x14ac:dyDescent="0.25">
      <c r="A361" s="4">
        <v>335</v>
      </c>
      <c r="B361" s="4">
        <v>4</v>
      </c>
      <c r="C361" s="4">
        <v>4</v>
      </c>
      <c r="D361" s="4">
        <v>5</v>
      </c>
      <c r="E361" s="4">
        <v>4</v>
      </c>
      <c r="F361" s="4">
        <v>5</v>
      </c>
      <c r="G361" s="4">
        <v>4</v>
      </c>
      <c r="H361" s="4">
        <v>4</v>
      </c>
      <c r="I361" s="4">
        <v>2</v>
      </c>
      <c r="J361" s="4">
        <v>3</v>
      </c>
      <c r="K361" s="4">
        <v>7</v>
      </c>
      <c r="L361" s="4">
        <v>4</v>
      </c>
      <c r="M361" s="4">
        <v>4</v>
      </c>
      <c r="N361" s="4">
        <v>3</v>
      </c>
    </row>
    <row r="362" spans="1:14" x14ac:dyDescent="0.25">
      <c r="A362" s="4">
        <v>338</v>
      </c>
      <c r="B362" s="4">
        <v>2</v>
      </c>
      <c r="C362" s="4">
        <v>5</v>
      </c>
      <c r="D362" s="4">
        <v>4</v>
      </c>
      <c r="E362" s="4">
        <v>5</v>
      </c>
      <c r="F362" s="4">
        <v>4</v>
      </c>
      <c r="G362" s="4">
        <v>5</v>
      </c>
      <c r="H362" s="4">
        <v>5</v>
      </c>
      <c r="I362" s="4">
        <v>3</v>
      </c>
      <c r="J362" s="4">
        <v>5</v>
      </c>
      <c r="K362" s="4">
        <v>3</v>
      </c>
      <c r="L362" s="4">
        <v>4</v>
      </c>
      <c r="M362" s="4">
        <v>5</v>
      </c>
      <c r="N362" s="4">
        <v>4</v>
      </c>
    </row>
    <row r="363" spans="1:14" x14ac:dyDescent="0.25">
      <c r="A363" s="4">
        <v>339</v>
      </c>
      <c r="B363" s="4">
        <v>4</v>
      </c>
      <c r="C363" s="4">
        <v>4</v>
      </c>
      <c r="D363" s="4">
        <v>3</v>
      </c>
      <c r="E363" s="4">
        <v>4</v>
      </c>
      <c r="F363" s="4">
        <v>3</v>
      </c>
      <c r="G363" s="4">
        <v>4</v>
      </c>
      <c r="H363" s="4">
        <v>4</v>
      </c>
      <c r="I363" s="4">
        <v>2</v>
      </c>
      <c r="J363" s="4">
        <v>4</v>
      </c>
      <c r="K363" s="4">
        <v>7</v>
      </c>
      <c r="L363" s="4">
        <v>4</v>
      </c>
      <c r="M363" s="4">
        <v>3</v>
      </c>
      <c r="N363" s="4">
        <v>2</v>
      </c>
    </row>
    <row r="364" spans="1:14" x14ac:dyDescent="0.25">
      <c r="A364" s="4">
        <v>340</v>
      </c>
      <c r="B364" s="4">
        <v>3</v>
      </c>
      <c r="C364" s="4">
        <v>3</v>
      </c>
      <c r="D364" s="4">
        <v>2</v>
      </c>
      <c r="E364" s="4">
        <v>4</v>
      </c>
      <c r="F364" s="4">
        <v>2</v>
      </c>
      <c r="G364" s="4">
        <v>3</v>
      </c>
      <c r="H364" s="4">
        <v>4</v>
      </c>
      <c r="I364" s="4">
        <v>2</v>
      </c>
      <c r="J364" s="4">
        <v>3</v>
      </c>
      <c r="K364" s="4">
        <v>7</v>
      </c>
      <c r="L364" s="4">
        <v>4</v>
      </c>
      <c r="M364" s="4">
        <v>4</v>
      </c>
      <c r="N364" s="4">
        <v>3</v>
      </c>
    </row>
    <row r="365" spans="1:14" x14ac:dyDescent="0.25">
      <c r="A365" s="4">
        <v>341</v>
      </c>
      <c r="B365" s="4">
        <v>4</v>
      </c>
      <c r="C365" s="4">
        <v>5</v>
      </c>
      <c r="D365" s="4">
        <v>6</v>
      </c>
      <c r="E365" s="4">
        <v>7</v>
      </c>
      <c r="F365" s="4">
        <v>6</v>
      </c>
      <c r="G365" s="4">
        <v>5</v>
      </c>
      <c r="H365" s="4">
        <v>5</v>
      </c>
      <c r="I365" s="4">
        <v>6</v>
      </c>
      <c r="J365" s="4">
        <v>5</v>
      </c>
      <c r="K365" s="4">
        <v>4</v>
      </c>
      <c r="L365" s="4">
        <v>6</v>
      </c>
      <c r="M365" s="4">
        <v>5</v>
      </c>
      <c r="N365" s="4">
        <v>5</v>
      </c>
    </row>
    <row r="366" spans="1:14" x14ac:dyDescent="0.25">
      <c r="A366" s="4">
        <v>343</v>
      </c>
      <c r="B366" s="4">
        <v>4</v>
      </c>
      <c r="C366" s="4">
        <v>5</v>
      </c>
      <c r="D366" s="4">
        <v>6</v>
      </c>
      <c r="E366" s="4">
        <v>5</v>
      </c>
      <c r="F366" s="4">
        <v>5</v>
      </c>
      <c r="G366" s="4">
        <v>5</v>
      </c>
      <c r="H366" s="4">
        <v>5</v>
      </c>
      <c r="I366" s="4">
        <v>6</v>
      </c>
      <c r="J366" s="4">
        <v>5</v>
      </c>
      <c r="K366" s="4">
        <v>7</v>
      </c>
      <c r="L366" s="4">
        <v>5</v>
      </c>
      <c r="M366" s="4">
        <v>4</v>
      </c>
      <c r="N366" s="4">
        <v>4</v>
      </c>
    </row>
    <row r="367" spans="1:14" x14ac:dyDescent="0.25">
      <c r="A367" s="4">
        <v>344</v>
      </c>
      <c r="B367" s="4">
        <v>3</v>
      </c>
      <c r="C367" s="4">
        <v>5</v>
      </c>
      <c r="D367" s="4">
        <v>6</v>
      </c>
      <c r="E367" s="4">
        <v>4</v>
      </c>
      <c r="F367" s="4">
        <v>6</v>
      </c>
      <c r="G367" s="4">
        <v>5</v>
      </c>
      <c r="H367" s="4">
        <v>5</v>
      </c>
      <c r="I367" s="4">
        <v>4</v>
      </c>
      <c r="J367" s="4">
        <v>5</v>
      </c>
      <c r="K367" s="4">
        <v>4</v>
      </c>
      <c r="L367" s="4">
        <v>4</v>
      </c>
      <c r="M367" s="4">
        <v>4</v>
      </c>
      <c r="N367" s="4">
        <v>3</v>
      </c>
    </row>
    <row r="368" spans="1:14" x14ac:dyDescent="0.25">
      <c r="A368" s="4">
        <v>345</v>
      </c>
      <c r="B368" s="4">
        <v>4</v>
      </c>
      <c r="C368" s="4">
        <v>5</v>
      </c>
      <c r="D368" s="4">
        <v>5</v>
      </c>
      <c r="E368" s="4">
        <v>4</v>
      </c>
      <c r="F368" s="4">
        <v>4</v>
      </c>
      <c r="G368" s="4">
        <v>5</v>
      </c>
      <c r="H368" s="4">
        <v>4</v>
      </c>
      <c r="I368" s="4">
        <v>4</v>
      </c>
      <c r="J368" s="4">
        <v>3</v>
      </c>
      <c r="K368" s="4">
        <v>7</v>
      </c>
      <c r="L368" s="4">
        <v>4</v>
      </c>
      <c r="M368" s="4">
        <v>4</v>
      </c>
      <c r="N368" s="4">
        <v>3</v>
      </c>
    </row>
    <row r="369" spans="1:14" x14ac:dyDescent="0.25">
      <c r="A369" s="4">
        <v>346</v>
      </c>
      <c r="B369" s="4">
        <v>2</v>
      </c>
      <c r="C369" s="4">
        <v>4</v>
      </c>
      <c r="D369" s="4">
        <v>2</v>
      </c>
      <c r="E369" s="4">
        <v>5</v>
      </c>
      <c r="F369" s="4">
        <v>2</v>
      </c>
      <c r="G369" s="4">
        <v>6</v>
      </c>
      <c r="H369" s="4">
        <v>4</v>
      </c>
      <c r="I369" s="4">
        <v>4</v>
      </c>
      <c r="J369" s="4">
        <v>5</v>
      </c>
      <c r="K369" s="4">
        <v>4</v>
      </c>
      <c r="L369" s="4">
        <v>3</v>
      </c>
      <c r="M369" s="4">
        <v>3</v>
      </c>
      <c r="N369" s="4">
        <v>2</v>
      </c>
    </row>
    <row r="370" spans="1:14" x14ac:dyDescent="0.25">
      <c r="A370" s="4">
        <v>348</v>
      </c>
      <c r="B370" s="4">
        <v>3</v>
      </c>
      <c r="C370" s="4">
        <v>4</v>
      </c>
      <c r="D370" s="4">
        <v>5</v>
      </c>
      <c r="E370" s="4">
        <v>4</v>
      </c>
      <c r="F370" s="4">
        <v>5</v>
      </c>
      <c r="G370" s="4">
        <v>5</v>
      </c>
      <c r="H370" s="4">
        <v>4</v>
      </c>
      <c r="I370" s="4">
        <v>3</v>
      </c>
      <c r="J370" s="4">
        <v>4</v>
      </c>
      <c r="K370" s="4">
        <v>4</v>
      </c>
      <c r="L370" s="4">
        <v>4</v>
      </c>
      <c r="M370" s="4">
        <v>4</v>
      </c>
      <c r="N370" s="4">
        <v>3</v>
      </c>
    </row>
    <row r="371" spans="1:14" x14ac:dyDescent="0.25">
      <c r="A371" s="4">
        <v>349</v>
      </c>
      <c r="B371" s="4">
        <v>3</v>
      </c>
      <c r="C371" s="4">
        <v>4</v>
      </c>
      <c r="D371" s="4">
        <v>2</v>
      </c>
      <c r="E371" s="4">
        <v>4</v>
      </c>
      <c r="F371" s="4">
        <v>2</v>
      </c>
      <c r="G371" s="4">
        <v>3</v>
      </c>
      <c r="H371" s="4">
        <v>4</v>
      </c>
      <c r="I371" s="4">
        <v>4</v>
      </c>
      <c r="J371" s="4">
        <v>3</v>
      </c>
      <c r="K371" s="4">
        <v>4</v>
      </c>
      <c r="L371" s="4">
        <v>4</v>
      </c>
      <c r="M371" s="4">
        <v>3</v>
      </c>
      <c r="N371" s="4">
        <v>3</v>
      </c>
    </row>
    <row r="372" spans="1:14" x14ac:dyDescent="0.25">
      <c r="A372" s="4">
        <v>350</v>
      </c>
      <c r="B372" s="4">
        <v>4</v>
      </c>
      <c r="C372" s="4">
        <v>6</v>
      </c>
      <c r="D372" s="4">
        <v>6</v>
      </c>
      <c r="E372" s="4">
        <v>5</v>
      </c>
      <c r="F372" s="4">
        <v>6</v>
      </c>
      <c r="G372" s="4">
        <v>6</v>
      </c>
      <c r="H372" s="4">
        <v>5</v>
      </c>
      <c r="I372" s="4">
        <v>6</v>
      </c>
      <c r="J372" s="4">
        <v>3</v>
      </c>
      <c r="K372" s="4">
        <v>7</v>
      </c>
      <c r="L372" s="4">
        <v>5</v>
      </c>
      <c r="M372" s="4">
        <v>5</v>
      </c>
      <c r="N372" s="4">
        <v>4</v>
      </c>
    </row>
    <row r="373" spans="1:14" x14ac:dyDescent="0.25">
      <c r="A373" s="4">
        <v>351</v>
      </c>
      <c r="B373" s="4">
        <v>2</v>
      </c>
      <c r="C373" s="4">
        <v>5</v>
      </c>
      <c r="D373" s="4">
        <v>6</v>
      </c>
      <c r="E373" s="4">
        <v>4</v>
      </c>
      <c r="F373" s="4">
        <v>5</v>
      </c>
      <c r="G373" s="4">
        <v>5</v>
      </c>
      <c r="H373" s="4">
        <v>3</v>
      </c>
      <c r="I373" s="4">
        <v>1</v>
      </c>
      <c r="J373" s="4">
        <v>2</v>
      </c>
      <c r="K373" s="4">
        <v>3</v>
      </c>
      <c r="L373" s="4">
        <v>3</v>
      </c>
      <c r="M373" s="4">
        <v>3</v>
      </c>
      <c r="N373" s="4">
        <v>3</v>
      </c>
    </row>
    <row r="374" spans="1:14" x14ac:dyDescent="0.25">
      <c r="A374" s="4">
        <v>352</v>
      </c>
      <c r="B374" s="4">
        <v>3</v>
      </c>
      <c r="C374" s="4">
        <v>5</v>
      </c>
      <c r="D374" s="4">
        <v>2</v>
      </c>
      <c r="E374" s="4">
        <v>5</v>
      </c>
      <c r="F374" s="4">
        <v>2</v>
      </c>
      <c r="G374" s="4">
        <v>5</v>
      </c>
      <c r="H374" s="4">
        <v>5</v>
      </c>
      <c r="I374" s="4">
        <v>4</v>
      </c>
      <c r="J374" s="4">
        <v>5</v>
      </c>
      <c r="K374" s="4">
        <v>4</v>
      </c>
      <c r="L374" s="4">
        <v>4</v>
      </c>
      <c r="M374" s="4">
        <v>4</v>
      </c>
      <c r="N374" s="4">
        <v>3</v>
      </c>
    </row>
    <row r="375" spans="1:14" x14ac:dyDescent="0.25">
      <c r="A375" s="4">
        <v>356</v>
      </c>
      <c r="B375" s="4">
        <v>4</v>
      </c>
      <c r="C375" s="4">
        <v>5</v>
      </c>
      <c r="D375" s="4">
        <v>6</v>
      </c>
      <c r="E375" s="4">
        <v>6</v>
      </c>
      <c r="F375" s="4">
        <v>6</v>
      </c>
      <c r="G375" s="4">
        <v>4</v>
      </c>
      <c r="H375" s="4">
        <v>4</v>
      </c>
      <c r="I375" s="4">
        <v>3</v>
      </c>
      <c r="J375" s="4">
        <v>4</v>
      </c>
      <c r="K375" s="4">
        <v>7</v>
      </c>
      <c r="L375" s="4">
        <v>6</v>
      </c>
      <c r="M375" s="4">
        <v>5</v>
      </c>
      <c r="N375" s="4">
        <v>5</v>
      </c>
    </row>
    <row r="376" spans="1:14" x14ac:dyDescent="0.25">
      <c r="A376" s="4">
        <v>357</v>
      </c>
      <c r="B376" s="4">
        <v>2</v>
      </c>
      <c r="C376" s="4">
        <v>4</v>
      </c>
      <c r="D376" s="4">
        <v>2</v>
      </c>
      <c r="E376" s="4">
        <v>5</v>
      </c>
      <c r="F376" s="4">
        <v>2</v>
      </c>
      <c r="G376" s="4">
        <v>4</v>
      </c>
      <c r="H376" s="4">
        <v>5</v>
      </c>
      <c r="I376" s="4">
        <v>1</v>
      </c>
      <c r="J376" s="4">
        <v>5</v>
      </c>
      <c r="K376" s="4">
        <v>3</v>
      </c>
      <c r="L376" s="4">
        <v>5</v>
      </c>
      <c r="M376" s="4">
        <v>4</v>
      </c>
      <c r="N376" s="4">
        <v>4</v>
      </c>
    </row>
    <row r="377" spans="1:14" x14ac:dyDescent="0.25">
      <c r="A377" s="4">
        <v>358</v>
      </c>
      <c r="B377" s="4">
        <v>4</v>
      </c>
      <c r="C377" s="4">
        <v>5</v>
      </c>
      <c r="D377" s="4">
        <v>6</v>
      </c>
      <c r="E377" s="4">
        <v>7</v>
      </c>
      <c r="F377" s="4">
        <v>5</v>
      </c>
      <c r="G377" s="4">
        <v>4</v>
      </c>
      <c r="H377" s="4">
        <v>5</v>
      </c>
      <c r="I377" s="4">
        <v>3</v>
      </c>
      <c r="J377" s="4">
        <v>5</v>
      </c>
      <c r="K377" s="4">
        <v>7</v>
      </c>
      <c r="L377" s="4">
        <v>6</v>
      </c>
      <c r="M377" s="4">
        <v>4</v>
      </c>
      <c r="N377" s="4">
        <v>4</v>
      </c>
    </row>
    <row r="378" spans="1:14" x14ac:dyDescent="0.25">
      <c r="A378" s="4">
        <v>359</v>
      </c>
      <c r="B378" s="4">
        <v>2</v>
      </c>
      <c r="C378" s="4">
        <v>5</v>
      </c>
      <c r="D378" s="4">
        <v>6</v>
      </c>
      <c r="E378" s="4">
        <v>7</v>
      </c>
      <c r="F378" s="4">
        <v>6</v>
      </c>
      <c r="G378" s="4">
        <v>4</v>
      </c>
      <c r="H378" s="4">
        <v>6</v>
      </c>
      <c r="I378" s="4">
        <v>3</v>
      </c>
      <c r="J378" s="4">
        <v>6</v>
      </c>
      <c r="K378" s="4">
        <v>3</v>
      </c>
      <c r="L378" s="4">
        <v>6</v>
      </c>
      <c r="M378" s="4">
        <v>5</v>
      </c>
      <c r="N378" s="4">
        <v>5</v>
      </c>
    </row>
    <row r="379" spans="1:14" x14ac:dyDescent="0.25">
      <c r="A379" s="4">
        <v>361</v>
      </c>
      <c r="B379" s="4">
        <v>2</v>
      </c>
      <c r="C379" s="4">
        <v>5</v>
      </c>
      <c r="D379" s="4">
        <v>6</v>
      </c>
      <c r="E379" s="4">
        <v>6</v>
      </c>
      <c r="F379" s="4">
        <v>6</v>
      </c>
      <c r="G379" s="4">
        <v>5</v>
      </c>
      <c r="H379" s="4">
        <v>6</v>
      </c>
      <c r="I379" s="4">
        <v>1</v>
      </c>
      <c r="J379" s="4">
        <v>4</v>
      </c>
      <c r="K379" s="4">
        <v>3</v>
      </c>
      <c r="L379" s="4">
        <v>4</v>
      </c>
      <c r="M379" s="4">
        <v>4</v>
      </c>
      <c r="N379" s="4">
        <v>3</v>
      </c>
    </row>
    <row r="380" spans="1:14" x14ac:dyDescent="0.25">
      <c r="A380" s="4">
        <v>362</v>
      </c>
      <c r="B380" s="4">
        <v>2</v>
      </c>
      <c r="C380" s="4">
        <v>6</v>
      </c>
      <c r="D380" s="4">
        <v>4</v>
      </c>
      <c r="E380" s="4">
        <v>7</v>
      </c>
      <c r="F380" s="4">
        <v>4</v>
      </c>
      <c r="G380" s="4">
        <v>6</v>
      </c>
      <c r="H380" s="4">
        <v>6</v>
      </c>
      <c r="I380" s="4">
        <v>1</v>
      </c>
      <c r="J380" s="4">
        <v>5</v>
      </c>
      <c r="K380" s="4">
        <v>3</v>
      </c>
      <c r="L380" s="4">
        <v>5</v>
      </c>
      <c r="M380" s="4">
        <v>5</v>
      </c>
      <c r="N380" s="4">
        <v>4</v>
      </c>
    </row>
    <row r="381" spans="1:14" x14ac:dyDescent="0.25">
      <c r="A381" s="4">
        <v>364</v>
      </c>
      <c r="B381" s="4">
        <v>2</v>
      </c>
      <c r="C381" s="4">
        <v>6</v>
      </c>
      <c r="D381" s="4">
        <v>5</v>
      </c>
      <c r="E381" s="4">
        <v>7</v>
      </c>
      <c r="F381" s="4">
        <v>5</v>
      </c>
      <c r="G381" s="4">
        <v>3</v>
      </c>
      <c r="H381" s="4">
        <v>7</v>
      </c>
      <c r="I381" s="4">
        <v>6</v>
      </c>
      <c r="J381" s="4">
        <v>5</v>
      </c>
      <c r="K381" s="4">
        <v>3</v>
      </c>
      <c r="L381" s="4">
        <v>5</v>
      </c>
      <c r="M381" s="4">
        <v>5</v>
      </c>
      <c r="N381" s="4">
        <v>4</v>
      </c>
    </row>
    <row r="382" spans="1:14" x14ac:dyDescent="0.25">
      <c r="A382" s="4">
        <v>366</v>
      </c>
      <c r="B382" s="4">
        <v>2</v>
      </c>
      <c r="C382" s="4">
        <v>4</v>
      </c>
      <c r="D382" s="4">
        <v>6</v>
      </c>
      <c r="E382" s="4">
        <v>7</v>
      </c>
      <c r="F382" s="4">
        <v>5</v>
      </c>
      <c r="G382" s="4">
        <v>6</v>
      </c>
      <c r="H382" s="4">
        <v>6</v>
      </c>
      <c r="I382" s="4">
        <v>3</v>
      </c>
      <c r="J382" s="4">
        <v>7</v>
      </c>
      <c r="K382" s="4">
        <v>3</v>
      </c>
      <c r="L382" s="4">
        <v>6</v>
      </c>
      <c r="M382" s="4">
        <v>5</v>
      </c>
      <c r="N382" s="4">
        <v>5</v>
      </c>
    </row>
    <row r="383" spans="1:14" x14ac:dyDescent="0.25">
      <c r="A383" s="4">
        <v>371</v>
      </c>
      <c r="B383" s="4">
        <v>2</v>
      </c>
      <c r="C383" s="4">
        <v>5</v>
      </c>
      <c r="D383" s="4">
        <v>3</v>
      </c>
      <c r="E383" s="4">
        <v>5</v>
      </c>
      <c r="F383" s="4">
        <v>3</v>
      </c>
      <c r="G383" s="4">
        <v>5</v>
      </c>
      <c r="H383" s="4">
        <v>5</v>
      </c>
      <c r="I383" s="4">
        <v>3</v>
      </c>
      <c r="J383" s="4">
        <v>4</v>
      </c>
      <c r="K383" s="4">
        <v>3</v>
      </c>
      <c r="L383" s="4">
        <v>4</v>
      </c>
      <c r="M383" s="4">
        <v>4</v>
      </c>
      <c r="N383" s="4">
        <v>4</v>
      </c>
    </row>
    <row r="384" spans="1:14" x14ac:dyDescent="0.25">
      <c r="A384" s="4">
        <v>372</v>
      </c>
      <c r="B384" s="4">
        <v>4</v>
      </c>
      <c r="C384" s="4">
        <v>6</v>
      </c>
      <c r="D384" s="4">
        <v>6</v>
      </c>
      <c r="E384" s="4">
        <v>5</v>
      </c>
      <c r="F384" s="4">
        <v>6</v>
      </c>
      <c r="G384" s="4">
        <v>6</v>
      </c>
      <c r="H384" s="4">
        <v>5</v>
      </c>
      <c r="I384" s="4">
        <v>3</v>
      </c>
      <c r="J384" s="4">
        <v>5</v>
      </c>
      <c r="K384" s="4">
        <v>7</v>
      </c>
      <c r="L384" s="4">
        <v>5</v>
      </c>
      <c r="M384" s="4">
        <v>5</v>
      </c>
      <c r="N384" s="4">
        <v>4</v>
      </c>
    </row>
    <row r="385" spans="1:14" x14ac:dyDescent="0.25">
      <c r="A385" s="4">
        <v>373</v>
      </c>
      <c r="B385" s="4">
        <v>2</v>
      </c>
      <c r="C385" s="4">
        <v>5</v>
      </c>
      <c r="D385" s="4">
        <v>4</v>
      </c>
      <c r="E385" s="4">
        <v>5</v>
      </c>
      <c r="F385" s="4">
        <v>4</v>
      </c>
      <c r="G385" s="4">
        <v>5</v>
      </c>
      <c r="H385" s="4">
        <v>5</v>
      </c>
      <c r="I385" s="4">
        <v>4</v>
      </c>
      <c r="J385" s="4">
        <v>5</v>
      </c>
      <c r="K385" s="4">
        <v>4</v>
      </c>
      <c r="L385" s="4">
        <v>3</v>
      </c>
      <c r="M385" s="4">
        <v>3</v>
      </c>
      <c r="N385" s="4">
        <v>3</v>
      </c>
    </row>
    <row r="386" spans="1:14" x14ac:dyDescent="0.25">
      <c r="A386" s="4">
        <v>376</v>
      </c>
      <c r="B386" s="4">
        <v>3</v>
      </c>
      <c r="C386" s="4">
        <v>5</v>
      </c>
      <c r="D386" s="4">
        <v>5</v>
      </c>
      <c r="E386" s="4">
        <v>4</v>
      </c>
      <c r="F386" s="4">
        <v>5</v>
      </c>
      <c r="G386" s="4">
        <v>5</v>
      </c>
      <c r="H386" s="4">
        <v>4</v>
      </c>
      <c r="I386" s="4">
        <v>3</v>
      </c>
      <c r="J386" s="4">
        <v>4</v>
      </c>
      <c r="K386" s="4">
        <v>7</v>
      </c>
      <c r="L386" s="4">
        <v>4</v>
      </c>
      <c r="M386" s="4">
        <v>4</v>
      </c>
      <c r="N386" s="4">
        <v>3</v>
      </c>
    </row>
    <row r="387" spans="1:14" x14ac:dyDescent="0.25">
      <c r="A387" s="4">
        <v>377</v>
      </c>
      <c r="B387" s="4">
        <v>2</v>
      </c>
      <c r="C387" s="4">
        <v>5</v>
      </c>
      <c r="D387" s="4">
        <v>4</v>
      </c>
      <c r="E387" s="4">
        <v>5</v>
      </c>
      <c r="F387" s="4">
        <v>4</v>
      </c>
      <c r="G387" s="4">
        <v>5</v>
      </c>
      <c r="H387" s="4">
        <v>5</v>
      </c>
      <c r="I387" s="4">
        <v>3</v>
      </c>
      <c r="J387" s="4">
        <v>5</v>
      </c>
      <c r="K387" s="4">
        <v>3</v>
      </c>
      <c r="L387" s="4">
        <v>4</v>
      </c>
      <c r="M387" s="4">
        <v>5</v>
      </c>
      <c r="N387" s="4">
        <v>5</v>
      </c>
    </row>
    <row r="388" spans="1:14" x14ac:dyDescent="0.25">
      <c r="A388" s="4">
        <v>378</v>
      </c>
      <c r="B388" s="4">
        <v>4</v>
      </c>
      <c r="C388" s="4">
        <v>6</v>
      </c>
      <c r="D388" s="4">
        <v>3</v>
      </c>
      <c r="E388" s="4">
        <v>4</v>
      </c>
      <c r="F388" s="4">
        <v>3</v>
      </c>
      <c r="G388" s="4">
        <v>6</v>
      </c>
      <c r="H388" s="4">
        <v>4</v>
      </c>
      <c r="I388" s="4">
        <v>2</v>
      </c>
      <c r="J388" s="4">
        <v>4</v>
      </c>
      <c r="K388" s="4">
        <v>7</v>
      </c>
      <c r="L388" s="4">
        <v>4</v>
      </c>
      <c r="M388" s="4">
        <v>3</v>
      </c>
      <c r="N388" s="4">
        <v>2</v>
      </c>
    </row>
    <row r="389" spans="1:14" x14ac:dyDescent="0.25">
      <c r="A389" s="4">
        <v>379</v>
      </c>
      <c r="B389" s="4">
        <v>4</v>
      </c>
      <c r="C389" s="4">
        <v>7</v>
      </c>
      <c r="D389" s="4">
        <v>6</v>
      </c>
      <c r="E389" s="4">
        <v>7</v>
      </c>
      <c r="F389" s="4">
        <v>6</v>
      </c>
      <c r="G389" s="4">
        <v>7</v>
      </c>
      <c r="H389" s="4">
        <v>5</v>
      </c>
      <c r="I389" s="4">
        <v>4</v>
      </c>
      <c r="J389" s="4">
        <v>5</v>
      </c>
      <c r="K389" s="4">
        <v>4</v>
      </c>
      <c r="L389" s="4">
        <v>6</v>
      </c>
      <c r="M389" s="4">
        <v>5</v>
      </c>
      <c r="N389" s="4">
        <v>5</v>
      </c>
    </row>
    <row r="390" spans="1:14" x14ac:dyDescent="0.25">
      <c r="A390" s="4">
        <v>380</v>
      </c>
      <c r="B390" s="4">
        <v>4</v>
      </c>
      <c r="C390" s="4">
        <v>5</v>
      </c>
      <c r="D390" s="4">
        <v>5</v>
      </c>
      <c r="E390" s="4">
        <v>4</v>
      </c>
      <c r="F390" s="4">
        <v>4</v>
      </c>
      <c r="G390" s="4">
        <v>5</v>
      </c>
      <c r="H390" s="4">
        <v>4</v>
      </c>
      <c r="I390" s="4">
        <v>3</v>
      </c>
      <c r="J390" s="4">
        <v>3</v>
      </c>
      <c r="K390" s="4">
        <v>7</v>
      </c>
      <c r="L390" s="4">
        <v>6</v>
      </c>
      <c r="M390" s="4">
        <v>6</v>
      </c>
      <c r="N390" s="4">
        <v>5</v>
      </c>
    </row>
    <row r="391" spans="1:14" x14ac:dyDescent="0.25">
      <c r="A391" s="4">
        <v>382</v>
      </c>
      <c r="B391" s="4">
        <v>3</v>
      </c>
      <c r="C391" s="4">
        <v>5</v>
      </c>
      <c r="D391" s="4">
        <v>5</v>
      </c>
      <c r="E391" s="4">
        <v>4</v>
      </c>
      <c r="F391" s="4">
        <v>5</v>
      </c>
      <c r="G391" s="4">
        <v>5</v>
      </c>
      <c r="H391" s="4">
        <v>4</v>
      </c>
      <c r="I391" s="4">
        <v>4</v>
      </c>
      <c r="J391" s="4">
        <v>5</v>
      </c>
      <c r="K391" s="4">
        <v>4</v>
      </c>
      <c r="L391" s="4">
        <v>4</v>
      </c>
      <c r="M391" s="4">
        <v>4</v>
      </c>
      <c r="N391" s="4">
        <v>3</v>
      </c>
    </row>
    <row r="392" spans="1:14" x14ac:dyDescent="0.25">
      <c r="A392" s="4">
        <v>383</v>
      </c>
      <c r="B392" s="4">
        <v>4</v>
      </c>
      <c r="C392" s="4">
        <v>6</v>
      </c>
      <c r="D392" s="4">
        <v>6</v>
      </c>
      <c r="E392" s="4">
        <v>5</v>
      </c>
      <c r="F392" s="4">
        <v>6</v>
      </c>
      <c r="G392" s="4">
        <v>6</v>
      </c>
      <c r="H392" s="4">
        <v>5</v>
      </c>
      <c r="I392" s="4">
        <v>2</v>
      </c>
      <c r="J392" s="4">
        <v>3</v>
      </c>
      <c r="K392" s="4">
        <v>7</v>
      </c>
      <c r="L392" s="4">
        <v>5</v>
      </c>
      <c r="M392" s="4">
        <v>5</v>
      </c>
      <c r="N392" s="4">
        <v>4</v>
      </c>
    </row>
    <row r="393" spans="1:14" x14ac:dyDescent="0.25">
      <c r="A393" s="4">
        <v>384</v>
      </c>
      <c r="B393" s="4">
        <v>2</v>
      </c>
      <c r="C393" s="4">
        <v>5</v>
      </c>
      <c r="D393" s="4">
        <v>6</v>
      </c>
      <c r="E393" s="4">
        <v>4</v>
      </c>
      <c r="F393" s="4">
        <v>5</v>
      </c>
      <c r="G393" s="4">
        <v>4</v>
      </c>
      <c r="H393" s="4">
        <v>3</v>
      </c>
      <c r="I393" s="4">
        <v>3</v>
      </c>
      <c r="J393" s="4">
        <v>2</v>
      </c>
      <c r="K393" s="4">
        <v>3</v>
      </c>
      <c r="L393" s="4">
        <v>3</v>
      </c>
      <c r="M393" s="4">
        <v>2</v>
      </c>
      <c r="N393" s="4">
        <v>2</v>
      </c>
    </row>
    <row r="394" spans="1:14" x14ac:dyDescent="0.25">
      <c r="A394" s="4">
        <v>387</v>
      </c>
      <c r="B394" s="4">
        <v>4</v>
      </c>
      <c r="C394" s="4">
        <v>7</v>
      </c>
      <c r="D394" s="4">
        <v>6</v>
      </c>
      <c r="E394" s="4">
        <v>7</v>
      </c>
      <c r="F394" s="4">
        <v>5</v>
      </c>
      <c r="G394" s="4">
        <v>6</v>
      </c>
      <c r="H394" s="4">
        <v>5</v>
      </c>
      <c r="I394" s="4">
        <v>3</v>
      </c>
      <c r="J394" s="4">
        <v>5</v>
      </c>
      <c r="K394" s="4">
        <v>7</v>
      </c>
      <c r="L394" s="4">
        <v>6</v>
      </c>
      <c r="M394" s="4">
        <v>5</v>
      </c>
      <c r="N394" s="4">
        <v>5</v>
      </c>
    </row>
    <row r="395" spans="1:14" x14ac:dyDescent="0.25">
      <c r="A395" s="4">
        <v>388</v>
      </c>
      <c r="B395" s="4">
        <v>2</v>
      </c>
      <c r="C395" s="4">
        <v>6</v>
      </c>
      <c r="D395" s="4">
        <v>6</v>
      </c>
      <c r="E395" s="4">
        <v>7</v>
      </c>
      <c r="F395" s="4">
        <v>6</v>
      </c>
      <c r="G395" s="4">
        <v>6</v>
      </c>
      <c r="H395" s="4">
        <v>6</v>
      </c>
      <c r="I395" s="4">
        <v>3</v>
      </c>
      <c r="J395" s="4">
        <v>6</v>
      </c>
      <c r="K395" s="4">
        <v>3</v>
      </c>
      <c r="L395" s="4">
        <v>6</v>
      </c>
      <c r="M395" s="4">
        <v>5</v>
      </c>
      <c r="N395" s="4">
        <v>5</v>
      </c>
    </row>
    <row r="396" spans="1:14" x14ac:dyDescent="0.25">
      <c r="A396" s="4">
        <v>391</v>
      </c>
      <c r="B396" s="4">
        <v>4</v>
      </c>
      <c r="C396" s="4">
        <v>4</v>
      </c>
      <c r="D396" s="4">
        <v>3</v>
      </c>
      <c r="E396" s="4">
        <v>4</v>
      </c>
      <c r="F396" s="4">
        <v>3</v>
      </c>
      <c r="G396" s="4">
        <v>4</v>
      </c>
      <c r="H396" s="4">
        <v>4</v>
      </c>
      <c r="I396" s="4">
        <v>2</v>
      </c>
      <c r="J396" s="4">
        <v>4</v>
      </c>
      <c r="K396" s="4">
        <v>7</v>
      </c>
      <c r="L396" s="4">
        <v>4</v>
      </c>
      <c r="M396" s="4">
        <v>3</v>
      </c>
      <c r="N396" s="4">
        <v>2</v>
      </c>
    </row>
    <row r="397" spans="1:14" x14ac:dyDescent="0.25">
      <c r="A397" s="4">
        <v>394</v>
      </c>
      <c r="B397" s="4">
        <v>4</v>
      </c>
      <c r="C397" s="4">
        <v>5</v>
      </c>
      <c r="D397" s="4">
        <v>6</v>
      </c>
      <c r="E397" s="4">
        <v>5</v>
      </c>
      <c r="F397" s="4">
        <v>5</v>
      </c>
      <c r="G397" s="4">
        <v>5</v>
      </c>
      <c r="H397" s="4">
        <v>5</v>
      </c>
      <c r="I397" s="4">
        <v>7</v>
      </c>
      <c r="J397" s="4">
        <v>5</v>
      </c>
      <c r="K397" s="4">
        <v>7</v>
      </c>
      <c r="L397" s="4">
        <v>5</v>
      </c>
      <c r="M397" s="4">
        <v>4</v>
      </c>
      <c r="N397" s="4">
        <v>4</v>
      </c>
    </row>
    <row r="398" spans="1:14" x14ac:dyDescent="0.25">
      <c r="A398" s="4">
        <v>395</v>
      </c>
      <c r="B398" s="4">
        <v>4</v>
      </c>
      <c r="C398" s="4">
        <v>5</v>
      </c>
      <c r="D398" s="4">
        <v>5</v>
      </c>
      <c r="E398" s="4">
        <v>4</v>
      </c>
      <c r="F398" s="4">
        <v>4</v>
      </c>
      <c r="G398" s="4">
        <v>5</v>
      </c>
      <c r="H398" s="4">
        <v>4</v>
      </c>
      <c r="I398" s="4">
        <v>3</v>
      </c>
      <c r="J398" s="4">
        <v>3</v>
      </c>
      <c r="K398" s="4">
        <v>7</v>
      </c>
      <c r="L398" s="4">
        <v>4</v>
      </c>
      <c r="M398" s="4">
        <v>4</v>
      </c>
      <c r="N398" s="4">
        <v>3</v>
      </c>
    </row>
    <row r="399" spans="1:14" x14ac:dyDescent="0.25">
      <c r="A399" s="4">
        <v>396</v>
      </c>
      <c r="B399" s="4">
        <v>2</v>
      </c>
      <c r="C399" s="4">
        <v>5</v>
      </c>
      <c r="D399" s="4">
        <v>3</v>
      </c>
      <c r="E399" s="4">
        <v>5</v>
      </c>
      <c r="F399" s="4">
        <v>3</v>
      </c>
      <c r="G399" s="4">
        <v>5</v>
      </c>
      <c r="H399" s="4">
        <v>5</v>
      </c>
      <c r="I399" s="4">
        <v>1</v>
      </c>
      <c r="J399" s="4">
        <v>4</v>
      </c>
      <c r="K399" s="4">
        <v>3</v>
      </c>
      <c r="L399" s="4">
        <v>4</v>
      </c>
      <c r="M399" s="4">
        <v>4</v>
      </c>
      <c r="N399" s="4">
        <v>4</v>
      </c>
    </row>
    <row r="400" spans="1:14" x14ac:dyDescent="0.25">
      <c r="A400" s="4">
        <v>398</v>
      </c>
      <c r="B400" s="4">
        <v>4</v>
      </c>
      <c r="C400" s="4">
        <v>4</v>
      </c>
      <c r="D400" s="4">
        <v>3</v>
      </c>
      <c r="E400" s="4">
        <v>4</v>
      </c>
      <c r="F400" s="4">
        <v>3</v>
      </c>
      <c r="G400" s="4">
        <v>4</v>
      </c>
      <c r="H400" s="4">
        <v>4</v>
      </c>
      <c r="I400" s="4">
        <v>2</v>
      </c>
      <c r="J400" s="4">
        <v>4</v>
      </c>
      <c r="K400" s="4">
        <v>7</v>
      </c>
      <c r="L400" s="4">
        <v>5</v>
      </c>
      <c r="M400" s="4">
        <v>5</v>
      </c>
      <c r="N400" s="4">
        <v>5</v>
      </c>
    </row>
    <row r="401" spans="1:14" x14ac:dyDescent="0.25">
      <c r="A401" s="4">
        <v>399</v>
      </c>
      <c r="B401" s="4">
        <v>2</v>
      </c>
      <c r="C401" s="4">
        <v>6</v>
      </c>
      <c r="D401" s="4">
        <v>2</v>
      </c>
      <c r="E401" s="4">
        <v>5</v>
      </c>
      <c r="F401" s="4">
        <v>2</v>
      </c>
      <c r="G401" s="4">
        <v>6</v>
      </c>
      <c r="H401" s="4">
        <v>4</v>
      </c>
      <c r="I401" s="4">
        <v>4</v>
      </c>
      <c r="J401" s="4">
        <v>5</v>
      </c>
      <c r="K401" s="4">
        <v>4</v>
      </c>
      <c r="L401" s="4">
        <v>3</v>
      </c>
      <c r="M401" s="4">
        <v>3</v>
      </c>
      <c r="N401" s="4">
        <v>2</v>
      </c>
    </row>
    <row r="402" spans="1:14" x14ac:dyDescent="0.25">
      <c r="A402" s="4">
        <v>401</v>
      </c>
      <c r="B402" s="4">
        <v>2</v>
      </c>
      <c r="C402" s="4">
        <v>6</v>
      </c>
      <c r="D402" s="4">
        <v>6</v>
      </c>
      <c r="E402" s="4">
        <v>7</v>
      </c>
      <c r="F402" s="4">
        <v>6</v>
      </c>
      <c r="G402" s="4">
        <v>6</v>
      </c>
      <c r="H402" s="4">
        <v>6</v>
      </c>
      <c r="I402" s="4">
        <v>3</v>
      </c>
      <c r="J402" s="4">
        <v>6</v>
      </c>
      <c r="K402" s="4">
        <v>3</v>
      </c>
      <c r="L402" s="4">
        <v>6</v>
      </c>
      <c r="M402" s="4">
        <v>5</v>
      </c>
      <c r="N402" s="4">
        <v>5</v>
      </c>
    </row>
    <row r="403" spans="1:14" x14ac:dyDescent="0.25">
      <c r="A403" s="4">
        <v>402</v>
      </c>
      <c r="B403" s="4">
        <v>4</v>
      </c>
      <c r="C403" s="4">
        <v>5</v>
      </c>
      <c r="D403" s="4">
        <v>6</v>
      </c>
      <c r="E403" s="4">
        <v>7</v>
      </c>
      <c r="F403" s="4">
        <v>5</v>
      </c>
      <c r="G403" s="4">
        <v>4</v>
      </c>
      <c r="H403" s="4">
        <v>5</v>
      </c>
      <c r="I403" s="4">
        <v>3</v>
      </c>
      <c r="J403" s="4">
        <v>5</v>
      </c>
      <c r="K403" s="4">
        <v>3</v>
      </c>
      <c r="L403" s="4">
        <v>6</v>
      </c>
      <c r="M403" s="4">
        <v>5</v>
      </c>
      <c r="N403" s="4">
        <v>5</v>
      </c>
    </row>
    <row r="404" spans="1:14" x14ac:dyDescent="0.25">
      <c r="A404" s="4">
        <v>403</v>
      </c>
      <c r="B404" s="4">
        <v>2</v>
      </c>
      <c r="C404" s="4">
        <v>6</v>
      </c>
      <c r="D404" s="4">
        <v>6</v>
      </c>
      <c r="E404" s="4">
        <v>7</v>
      </c>
      <c r="F404" s="4">
        <v>6</v>
      </c>
      <c r="G404" s="4">
        <v>4</v>
      </c>
      <c r="H404" s="4">
        <v>6</v>
      </c>
      <c r="I404" s="4">
        <v>3</v>
      </c>
      <c r="J404" s="4">
        <v>6</v>
      </c>
      <c r="K404" s="4">
        <v>3</v>
      </c>
      <c r="L404" s="4">
        <v>6</v>
      </c>
      <c r="M404" s="4">
        <v>5</v>
      </c>
      <c r="N404" s="4">
        <v>5</v>
      </c>
    </row>
    <row r="405" spans="1:14" x14ac:dyDescent="0.25">
      <c r="A405" s="4">
        <v>404</v>
      </c>
      <c r="B405" s="4">
        <v>3</v>
      </c>
      <c r="C405" s="4">
        <v>5</v>
      </c>
      <c r="D405" s="4">
        <v>2</v>
      </c>
      <c r="E405" s="4">
        <v>5</v>
      </c>
      <c r="F405" s="4">
        <v>2</v>
      </c>
      <c r="G405" s="4">
        <v>5</v>
      </c>
      <c r="H405" s="4">
        <v>5</v>
      </c>
      <c r="I405" s="4">
        <v>3</v>
      </c>
      <c r="J405" s="4">
        <v>4</v>
      </c>
      <c r="K405" s="4">
        <v>3</v>
      </c>
      <c r="L405" s="4">
        <v>4</v>
      </c>
      <c r="M405" s="4">
        <v>4</v>
      </c>
      <c r="N405" s="4">
        <v>3</v>
      </c>
    </row>
    <row r="406" spans="1:14" x14ac:dyDescent="0.25">
      <c r="A406" s="4">
        <v>405</v>
      </c>
      <c r="B406" s="4">
        <v>3</v>
      </c>
      <c r="C406" s="4">
        <v>4</v>
      </c>
      <c r="D406" s="4">
        <v>2</v>
      </c>
      <c r="E406" s="4">
        <v>4</v>
      </c>
      <c r="F406" s="4">
        <v>2</v>
      </c>
      <c r="G406" s="4">
        <v>3</v>
      </c>
      <c r="H406" s="4">
        <v>4</v>
      </c>
      <c r="I406" s="4">
        <v>4</v>
      </c>
      <c r="J406" s="4">
        <v>3</v>
      </c>
      <c r="K406" s="4">
        <v>4</v>
      </c>
      <c r="L406" s="4">
        <v>4</v>
      </c>
      <c r="M406" s="4">
        <v>3</v>
      </c>
      <c r="N406" s="4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8"/>
  <sheetViews>
    <sheetView workbookViewId="0"/>
  </sheetViews>
  <sheetFormatPr defaultRowHeight="15" x14ac:dyDescent="0.25"/>
  <cols>
    <col min="1" max="1" width="28" customWidth="1"/>
    <col min="2" max="2" width="12" customWidth="1"/>
    <col min="3" max="3" width="50" customWidth="1"/>
  </cols>
  <sheetData>
    <row r="1" spans="1:3" ht="18" x14ac:dyDescent="0.25">
      <c r="A1" s="1" t="s">
        <v>79</v>
      </c>
    </row>
    <row r="2" spans="1:3" x14ac:dyDescent="0.25">
      <c r="A2" s="8" t="s">
        <v>80</v>
      </c>
    </row>
    <row r="3" spans="1:3" x14ac:dyDescent="0.25">
      <c r="A3" s="6" t="s">
        <v>81</v>
      </c>
      <c r="B3" s="6" t="s">
        <v>82</v>
      </c>
      <c r="C3" s="6" t="s">
        <v>83</v>
      </c>
    </row>
    <row r="4" spans="1:3" x14ac:dyDescent="0.25">
      <c r="A4" s="9" t="s">
        <v>84</v>
      </c>
      <c r="B4" s="10">
        <f>COUNT(Data!A2:A406)</f>
        <v>405</v>
      </c>
      <c r="C4" s="9" t="s">
        <v>85</v>
      </c>
    </row>
    <row r="5" spans="1:3" x14ac:dyDescent="0.25">
      <c r="A5" s="9" t="s">
        <v>86</v>
      </c>
      <c r="B5" s="10">
        <f>COUNTBLANK(Data!B2:N406)</f>
        <v>0</v>
      </c>
      <c r="C5" s="9" t="s">
        <v>87</v>
      </c>
    </row>
    <row r="6" spans="1:3" x14ac:dyDescent="0.25">
      <c r="A6" s="9" t="s">
        <v>88</v>
      </c>
      <c r="B6" s="10">
        <f>SUMPRODUCT(--(COUNTIF(Data!A2:A406,Data!A2:A406)&gt;1))</f>
        <v>0</v>
      </c>
      <c r="C6" s="9" t="s">
        <v>89</v>
      </c>
    </row>
    <row r="7" spans="1:3" x14ac:dyDescent="0.25">
      <c r="A7" s="9" t="s">
        <v>90</v>
      </c>
      <c r="B7" s="10">
        <f>COUNTIF(Data!B2:N406,"&lt;1")+COUNTIF(Data!B2:N406,"&gt;7")</f>
        <v>0</v>
      </c>
      <c r="C7" s="9" t="s">
        <v>91</v>
      </c>
    </row>
    <row r="8" spans="1:3" x14ac:dyDescent="0.25">
      <c r="A8" s="9" t="s">
        <v>92</v>
      </c>
      <c r="B8" s="10">
        <f>SUMPRODUCT(--(Data!B2:N406&lt;&gt;INT(Data!B2:N406)))</f>
        <v>0</v>
      </c>
      <c r="C8" s="9" t="s">
        <v>93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H16"/>
  <sheetViews>
    <sheetView workbookViewId="0"/>
  </sheetViews>
  <sheetFormatPr defaultRowHeight="15" x14ac:dyDescent="0.25"/>
  <cols>
    <col min="1" max="1" width="8" customWidth="1"/>
    <col min="2" max="2" width="26" customWidth="1"/>
    <col min="3" max="3" width="8" customWidth="1"/>
    <col min="4" max="6" width="9" customWidth="1"/>
    <col min="7" max="8" width="7" customWidth="1"/>
  </cols>
  <sheetData>
    <row r="1" spans="1:8" ht="18" x14ac:dyDescent="0.25">
      <c r="A1" s="1" t="s">
        <v>94</v>
      </c>
    </row>
    <row r="2" spans="1:8" x14ac:dyDescent="0.25">
      <c r="A2" s="8" t="s">
        <v>95</v>
      </c>
    </row>
    <row r="3" spans="1:8" x14ac:dyDescent="0.25">
      <c r="A3" s="6" t="s">
        <v>43</v>
      </c>
      <c r="B3" s="6" t="s">
        <v>44</v>
      </c>
      <c r="C3" s="6" t="s">
        <v>96</v>
      </c>
      <c r="D3" s="6" t="s">
        <v>97</v>
      </c>
      <c r="E3" s="6" t="s">
        <v>98</v>
      </c>
      <c r="F3" s="6" t="s">
        <v>99</v>
      </c>
      <c r="G3" s="6" t="s">
        <v>100</v>
      </c>
      <c r="H3" s="6" t="s">
        <v>101</v>
      </c>
    </row>
    <row r="4" spans="1:8" x14ac:dyDescent="0.25">
      <c r="A4" s="9" t="s">
        <v>46</v>
      </c>
      <c r="B4" s="9" t="s">
        <v>102</v>
      </c>
      <c r="C4" s="10">
        <f>COUNT(Data!B$2:B$406)</f>
        <v>405</v>
      </c>
      <c r="D4" s="11">
        <f>AVERAGE(Data!B$2:B$406)</f>
        <v>3.6395061728395062</v>
      </c>
      <c r="E4" s="11">
        <f>_xlfn.STDEV.S(Data!B$2:B$406)</f>
        <v>1.2098685605258661</v>
      </c>
      <c r="F4" s="12">
        <f>MEDIAN(Data!B$2:B$406)</f>
        <v>4</v>
      </c>
      <c r="G4" s="10">
        <f>MIN(Data!B$2:B$406)</f>
        <v>1</v>
      </c>
      <c r="H4" s="10">
        <f>MAX(Data!B$2:B$406)</f>
        <v>5</v>
      </c>
    </row>
    <row r="5" spans="1:8" x14ac:dyDescent="0.25">
      <c r="A5" s="9" t="s">
        <v>49</v>
      </c>
      <c r="B5" s="9" t="s">
        <v>103</v>
      </c>
      <c r="C5" s="10">
        <f>COUNT(Data!C$2:C$406)</f>
        <v>405</v>
      </c>
      <c r="D5" s="11">
        <f>AVERAGE(Data!C$2:C$406)</f>
        <v>4.6370370370370368</v>
      </c>
      <c r="E5" s="11">
        <f>_xlfn.STDEV.S(Data!C$2:C$406)</f>
        <v>0.90876431777360467</v>
      </c>
      <c r="F5" s="12">
        <f>MEDIAN(Data!C$2:C$406)</f>
        <v>5</v>
      </c>
      <c r="G5" s="10">
        <f>MIN(Data!C$2:C$406)</f>
        <v>2</v>
      </c>
      <c r="H5" s="10">
        <f>MAX(Data!C$2:C$406)</f>
        <v>7</v>
      </c>
    </row>
    <row r="6" spans="1:8" x14ac:dyDescent="0.25">
      <c r="A6" s="9" t="s">
        <v>51</v>
      </c>
      <c r="B6" s="9" t="s">
        <v>104</v>
      </c>
      <c r="C6" s="10">
        <f>COUNT(Data!D$2:D$406)</f>
        <v>405</v>
      </c>
      <c r="D6" s="11">
        <f>AVERAGE(Data!D$2:D$406)</f>
        <v>4.5086419753086417</v>
      </c>
      <c r="E6" s="11">
        <f>_xlfn.STDEV.S(Data!D$2:D$406)</f>
        <v>1.3230812307954554</v>
      </c>
      <c r="F6" s="12">
        <f>MEDIAN(Data!D$2:D$406)</f>
        <v>5</v>
      </c>
      <c r="G6" s="10">
        <f>MIN(Data!D$2:D$406)</f>
        <v>2</v>
      </c>
      <c r="H6" s="10">
        <f>MAX(Data!D$2:D$406)</f>
        <v>6</v>
      </c>
    </row>
    <row r="7" spans="1:8" x14ac:dyDescent="0.25">
      <c r="A7" s="9" t="s">
        <v>53</v>
      </c>
      <c r="B7" s="9" t="s">
        <v>105</v>
      </c>
      <c r="C7" s="10">
        <f>COUNT(Data!E$2:E$406)</f>
        <v>405</v>
      </c>
      <c r="D7" s="11">
        <f>AVERAGE(Data!E$2:E$406)</f>
        <v>5.7629629629629626</v>
      </c>
      <c r="E7" s="11">
        <f>_xlfn.STDEV.S(Data!E$2:E$406)</f>
        <v>1.1953337953426353</v>
      </c>
      <c r="F7" s="12">
        <f>MEDIAN(Data!E$2:E$406)</f>
        <v>6</v>
      </c>
      <c r="G7" s="10">
        <f>MIN(Data!E$2:E$406)</f>
        <v>4</v>
      </c>
      <c r="H7" s="10">
        <f>MAX(Data!E$2:E$406)</f>
        <v>7</v>
      </c>
    </row>
    <row r="8" spans="1:8" x14ac:dyDescent="0.25">
      <c r="A8" s="9" t="s">
        <v>55</v>
      </c>
      <c r="B8" s="9" t="s">
        <v>106</v>
      </c>
      <c r="C8" s="10">
        <f>COUNT(Data!F$2:F$406)</f>
        <v>405</v>
      </c>
      <c r="D8" s="11">
        <f>AVERAGE(Data!F$2:F$406)</f>
        <v>4.3382716049382717</v>
      </c>
      <c r="E8" s="11">
        <f>_xlfn.STDEV.S(Data!F$2:F$406)</f>
        <v>1.2374686615928492</v>
      </c>
      <c r="F8" s="12">
        <f>MEDIAN(Data!F$2:F$406)</f>
        <v>4</v>
      </c>
      <c r="G8" s="10">
        <f>MIN(Data!F$2:F$406)</f>
        <v>2</v>
      </c>
      <c r="H8" s="10">
        <f>MAX(Data!F$2:F$406)</f>
        <v>6</v>
      </c>
    </row>
    <row r="9" spans="1:8" x14ac:dyDescent="0.25">
      <c r="A9" s="9" t="s">
        <v>57</v>
      </c>
      <c r="B9" s="9" t="s">
        <v>107</v>
      </c>
      <c r="C9" s="10">
        <f>COUNT(Data!G$2:G$406)</f>
        <v>405</v>
      </c>
      <c r="D9" s="11">
        <f>AVERAGE(Data!G$2:G$406)</f>
        <v>4.6962962962962962</v>
      </c>
      <c r="E9" s="11">
        <f>_xlfn.STDEV.S(Data!G$2:G$406)</f>
        <v>1.0191780376299511</v>
      </c>
      <c r="F9" s="12">
        <f>MEDIAN(Data!G$2:G$406)</f>
        <v>5</v>
      </c>
      <c r="G9" s="10">
        <f>MIN(Data!G$2:G$406)</f>
        <v>2</v>
      </c>
      <c r="H9" s="10">
        <f>MAX(Data!G$2:G$406)</f>
        <v>7</v>
      </c>
    </row>
    <row r="10" spans="1:8" x14ac:dyDescent="0.25">
      <c r="A10" s="9" t="s">
        <v>59</v>
      </c>
      <c r="B10" s="9" t="s">
        <v>108</v>
      </c>
      <c r="C10" s="10">
        <f>COUNT(Data!H$2:H$406)</f>
        <v>405</v>
      </c>
      <c r="D10" s="11">
        <f>AVERAGE(Data!H$2:H$406)</f>
        <v>5.3111111111111109</v>
      </c>
      <c r="E10" s="11">
        <f>_xlfn.STDEV.S(Data!H$2:H$406)</f>
        <v>1.0840883380760413</v>
      </c>
      <c r="F10" s="12">
        <f>MEDIAN(Data!H$2:H$406)</f>
        <v>5</v>
      </c>
      <c r="G10" s="10">
        <f>MIN(Data!H$2:H$406)</f>
        <v>3</v>
      </c>
      <c r="H10" s="10">
        <f>MAX(Data!H$2:H$406)</f>
        <v>7</v>
      </c>
    </row>
    <row r="11" spans="1:8" x14ac:dyDescent="0.25">
      <c r="A11" s="9" t="s">
        <v>61</v>
      </c>
      <c r="B11" s="9" t="s">
        <v>109</v>
      </c>
      <c r="C11" s="10">
        <f>COUNT(Data!I$2:I$406)</f>
        <v>405</v>
      </c>
      <c r="D11" s="11">
        <f>AVERAGE(Data!I$2:I$406)</f>
        <v>3.5530864197530865</v>
      </c>
      <c r="E11" s="11">
        <f>_xlfn.STDEV.S(Data!I$2:I$406)</f>
        <v>1.5173164184837216</v>
      </c>
      <c r="F11" s="12">
        <f>MEDIAN(Data!I$2:I$406)</f>
        <v>4</v>
      </c>
      <c r="G11" s="10">
        <f>MIN(Data!I$2:I$406)</f>
        <v>1</v>
      </c>
      <c r="H11" s="10">
        <f>MAX(Data!I$2:I$406)</f>
        <v>7</v>
      </c>
    </row>
    <row r="12" spans="1:8" x14ac:dyDescent="0.25">
      <c r="A12" s="9" t="s">
        <v>63</v>
      </c>
      <c r="B12" s="9" t="s">
        <v>110</v>
      </c>
      <c r="C12" s="10">
        <f>COUNT(Data!J$2:J$406)</f>
        <v>405</v>
      </c>
      <c r="D12" s="11">
        <f>AVERAGE(Data!J$2:J$406)</f>
        <v>4.5234567901234568</v>
      </c>
      <c r="E12" s="11">
        <f>_xlfn.STDEV.S(Data!J$2:J$406)</f>
        <v>1.167873544132126</v>
      </c>
      <c r="F12" s="12">
        <f>MEDIAN(Data!J$2:J$406)</f>
        <v>5</v>
      </c>
      <c r="G12" s="10">
        <f>MIN(Data!J$2:J$406)</f>
        <v>2</v>
      </c>
      <c r="H12" s="10">
        <f>MAX(Data!J$2:J$406)</f>
        <v>7</v>
      </c>
    </row>
    <row r="13" spans="1:8" x14ac:dyDescent="0.25">
      <c r="A13" s="9" t="s">
        <v>65</v>
      </c>
      <c r="B13" s="9" t="s">
        <v>111</v>
      </c>
      <c r="C13" s="10">
        <f>COUNT(Data!K$2:K$406)</f>
        <v>405</v>
      </c>
      <c r="D13" s="11">
        <f>AVERAGE(Data!K$2:K$406)</f>
        <v>5.2098765432098766</v>
      </c>
      <c r="E13" s="11">
        <f>_xlfn.STDEV.S(Data!K$2:K$406)</f>
        <v>2.0387098508634875</v>
      </c>
      <c r="F13" s="12">
        <f>MEDIAN(Data!K$2:K$406)</f>
        <v>7</v>
      </c>
      <c r="G13" s="10">
        <f>MIN(Data!K$2:K$406)</f>
        <v>1</v>
      </c>
      <c r="H13" s="10">
        <f>MAX(Data!K$2:K$406)</f>
        <v>7</v>
      </c>
    </row>
    <row r="14" spans="1:8" x14ac:dyDescent="0.25">
      <c r="A14" s="9" t="s">
        <v>67</v>
      </c>
      <c r="B14" s="9" t="s">
        <v>112</v>
      </c>
      <c r="C14" s="10">
        <f>COUNT(Data!L$2:L$406)</f>
        <v>405</v>
      </c>
      <c r="D14" s="11">
        <f>AVERAGE(Data!L$2:L$406)</f>
        <v>4.8296296296296299</v>
      </c>
      <c r="E14" s="11">
        <f>_xlfn.STDEV.S(Data!L$2:L$406)</f>
        <v>1.1183045472974036</v>
      </c>
      <c r="F14" s="12">
        <f>MEDIAN(Data!L$2:L$406)</f>
        <v>5</v>
      </c>
      <c r="G14" s="10">
        <f>MIN(Data!L$2:L$406)</f>
        <v>3</v>
      </c>
      <c r="H14" s="10">
        <f>MAX(Data!L$2:L$406)</f>
        <v>7</v>
      </c>
    </row>
    <row r="15" spans="1:8" x14ac:dyDescent="0.25">
      <c r="A15" s="9" t="s">
        <v>70</v>
      </c>
      <c r="B15" s="9" t="s">
        <v>113</v>
      </c>
      <c r="C15" s="10">
        <f>COUNT(Data!M$2:M$406)</f>
        <v>405</v>
      </c>
      <c r="D15" s="11">
        <f>AVERAGE(Data!M$2:M$406)</f>
        <v>4.4641975308641975</v>
      </c>
      <c r="E15" s="11">
        <f>_xlfn.STDEV.S(Data!M$2:M$406)</f>
        <v>1.1043689836164747</v>
      </c>
      <c r="F15" s="12">
        <f>MEDIAN(Data!M$2:M$406)</f>
        <v>4</v>
      </c>
      <c r="G15" s="10">
        <f>MIN(Data!M$2:M$406)</f>
        <v>2</v>
      </c>
      <c r="H15" s="10">
        <f>MAX(Data!M$2:M$406)</f>
        <v>7</v>
      </c>
    </row>
    <row r="16" spans="1:8" x14ac:dyDescent="0.25">
      <c r="A16" s="9" t="s">
        <v>73</v>
      </c>
      <c r="B16" s="9" t="s">
        <v>114</v>
      </c>
      <c r="C16" s="10">
        <f>COUNT(Data!N$2:N$406)</f>
        <v>405</v>
      </c>
      <c r="D16" s="11">
        <f>AVERAGE(Data!N$2:N$406)</f>
        <v>3.7851851851851852</v>
      </c>
      <c r="E16" s="11">
        <f>_xlfn.STDEV.S(Data!N$2:N$406)</f>
        <v>1.1985047523327292</v>
      </c>
      <c r="F16" s="12">
        <f>MEDIAN(Data!N$2:N$406)</f>
        <v>4</v>
      </c>
      <c r="G16" s="10">
        <f>MIN(Data!N$2:N$406)</f>
        <v>2</v>
      </c>
      <c r="H16" s="10">
        <f>MAX(Data!N$2:N$406)</f>
        <v>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N39"/>
  <sheetViews>
    <sheetView workbookViewId="0"/>
  </sheetViews>
  <sheetFormatPr defaultRowHeight="15" x14ac:dyDescent="0.25"/>
  <cols>
    <col min="1" max="1" width="30" customWidth="1"/>
    <col min="2" max="2" width="22" customWidth="1"/>
    <col min="3" max="14" width="11" customWidth="1"/>
  </cols>
  <sheetData>
    <row r="1" spans="1:14" ht="18" x14ac:dyDescent="0.25">
      <c r="A1" s="1" t="s">
        <v>115</v>
      </c>
    </row>
    <row r="2" spans="1:14" x14ac:dyDescent="0.25">
      <c r="A2" s="8" t="s">
        <v>116</v>
      </c>
    </row>
    <row r="3" spans="1:14" x14ac:dyDescent="0.25">
      <c r="A3" s="13" t="s">
        <v>117</v>
      </c>
      <c r="B3" s="10">
        <f>COUNT(Data!A2:A406)</f>
        <v>405</v>
      </c>
    </row>
    <row r="4" spans="1:14" x14ac:dyDescent="0.25">
      <c r="A4" s="13" t="s">
        <v>118</v>
      </c>
      <c r="B4" s="14">
        <v>0.05</v>
      </c>
    </row>
    <row r="5" spans="1:14" x14ac:dyDescent="0.25">
      <c r="A5" s="13" t="s">
        <v>119</v>
      </c>
      <c r="B5" s="15">
        <f>B3-2</f>
        <v>403</v>
      </c>
    </row>
    <row r="6" spans="1:14" x14ac:dyDescent="0.25">
      <c r="A6" s="13" t="s">
        <v>120</v>
      </c>
      <c r="B6" s="16">
        <f>_xlfn.T.INV.2T(B4,B5)</f>
        <v>1.9658679317122185</v>
      </c>
    </row>
    <row r="7" spans="1:14" x14ac:dyDescent="0.25">
      <c r="A7" s="13" t="s">
        <v>121</v>
      </c>
      <c r="B7" s="16">
        <f>B6/SQRT(B6^2+B5)</f>
        <v>9.746066407377954E-2</v>
      </c>
    </row>
    <row r="9" spans="1:14" x14ac:dyDescent="0.25">
      <c r="A9" s="6"/>
      <c r="B9" s="6" t="s">
        <v>46</v>
      </c>
      <c r="C9" s="6" t="s">
        <v>49</v>
      </c>
      <c r="D9" s="6" t="s">
        <v>51</v>
      </c>
      <c r="E9" s="6" t="s">
        <v>53</v>
      </c>
      <c r="F9" s="6" t="s">
        <v>55</v>
      </c>
      <c r="G9" s="6" t="s">
        <v>57</v>
      </c>
      <c r="H9" s="6" t="s">
        <v>59</v>
      </c>
      <c r="I9" s="6" t="s">
        <v>61</v>
      </c>
      <c r="J9" s="6" t="s">
        <v>63</v>
      </c>
      <c r="K9" s="6" t="s">
        <v>65</v>
      </c>
      <c r="L9" s="6" t="s">
        <v>67</v>
      </c>
      <c r="M9" s="6" t="s">
        <v>70</v>
      </c>
      <c r="N9" s="6" t="s">
        <v>73</v>
      </c>
    </row>
    <row r="10" spans="1:14" x14ac:dyDescent="0.25">
      <c r="A10" s="13" t="s">
        <v>122</v>
      </c>
      <c r="B10" s="17">
        <f>CORREL(Data!B$2:B$406,Data!B$2:B$406)</f>
        <v>1</v>
      </c>
      <c r="C10" s="17">
        <f>CORREL(Data!B$2:B$406,Data!C$2:C$406)</f>
        <v>-0.15081896718237131</v>
      </c>
      <c r="D10" s="17">
        <f>CORREL(Data!B$2:B$406,Data!D$2:D$406)</f>
        <v>-3.6706504516501169E-2</v>
      </c>
      <c r="E10" s="17">
        <f>CORREL(Data!B$2:B$406,Data!E$2:E$406)</f>
        <v>0.36009881355589263</v>
      </c>
      <c r="F10" s="17">
        <f>CORREL(Data!B$2:B$406,Data!F$2:F$406)</f>
        <v>-4.7304199484549093E-2</v>
      </c>
      <c r="G10" s="17">
        <f>CORREL(Data!B$2:B$406,Data!G$2:G$406)</f>
        <v>-0.11309748298045827</v>
      </c>
      <c r="H10" s="17">
        <f>CORREL(Data!B$2:B$406,Data!H$2:H$406)</f>
        <v>0.35558865173482085</v>
      </c>
      <c r="I10" s="17">
        <f>CORREL(Data!B$2:B$406,Data!I$2:I$406)</f>
        <v>0.60103012387233257</v>
      </c>
      <c r="J10" s="17">
        <f>CORREL(Data!B$2:B$406,Data!J$2:J$406)</f>
        <v>2.001377897811131E-2</v>
      </c>
      <c r="K10" s="17">
        <f>CORREL(Data!B$2:B$406,Data!K$2:K$406)</f>
        <v>0.81048298982295042</v>
      </c>
      <c r="L10" s="17">
        <f>CORREL(Data!B$2:B$406,Data!L$2:L$406)</f>
        <v>0.42466258767219667</v>
      </c>
      <c r="M10" s="17">
        <f>CORREL(Data!B$2:B$406,Data!M$2:M$406)</f>
        <v>0.36082335331396842</v>
      </c>
      <c r="N10" s="17">
        <f>CORREL(Data!B$2:B$406,Data!N$2:N$406)</f>
        <v>0.19056756485493356</v>
      </c>
    </row>
    <row r="11" spans="1:14" x14ac:dyDescent="0.25">
      <c r="A11" s="13" t="s">
        <v>123</v>
      </c>
      <c r="B11" s="17">
        <f>CORREL(Data!C$2:C$406,Data!B$2:B$406)</f>
        <v>-0.15081896718237131</v>
      </c>
      <c r="C11" s="17">
        <f>CORREL(Data!C$2:C$406,Data!C$2:C$406)</f>
        <v>1</v>
      </c>
      <c r="D11" s="17">
        <f>CORREL(Data!C$2:C$406,Data!D$2:D$406)</f>
        <v>0.39066928273933993</v>
      </c>
      <c r="E11" s="17">
        <f>CORREL(Data!C$2:C$406,Data!E$2:E$406)</f>
        <v>-1.1038807247244544E-2</v>
      </c>
      <c r="F11" s="17">
        <f>CORREL(Data!C$2:C$406,Data!F$2:F$406)</f>
        <v>0.38458337801368297</v>
      </c>
      <c r="G11" s="17">
        <f>CORREL(Data!C$2:C$406,Data!G$2:G$406)</f>
        <v>0.67174710081276068</v>
      </c>
      <c r="H11" s="17">
        <f>CORREL(Data!C$2:C$406,Data!H$2:H$406)</f>
        <v>2.9479770942700954E-2</v>
      </c>
      <c r="I11" s="17">
        <f>CORREL(Data!C$2:C$406,Data!I$2:I$406)</f>
        <v>0.12081759191765998</v>
      </c>
      <c r="J11" s="17">
        <f>CORREL(Data!C$2:C$406,Data!J$2:J$406)</f>
        <v>9.0836075242637163E-2</v>
      </c>
      <c r="K11" s="17">
        <f>CORREL(Data!C$2:C$406,Data!K$2:K$406)</f>
        <v>-5.363860385795443E-2</v>
      </c>
      <c r="L11" s="17">
        <f>CORREL(Data!C$2:C$406,Data!L$2:L$406)</f>
        <v>0.21909641316804054</v>
      </c>
      <c r="M11" s="17">
        <f>CORREL(Data!C$2:C$406,Data!M$2:M$406)</f>
        <v>0.22502166850151437</v>
      </c>
      <c r="N11" s="17">
        <f>CORREL(Data!C$2:C$406,Data!N$2:N$406)</f>
        <v>0.27367444457911067</v>
      </c>
    </row>
    <row r="12" spans="1:14" x14ac:dyDescent="0.25">
      <c r="A12" s="13" t="s">
        <v>124</v>
      </c>
      <c r="B12" s="17">
        <f>CORREL(Data!D$2:D$406,Data!B$2:B$406)</f>
        <v>-3.6706504516501169E-2</v>
      </c>
      <c r="C12" s="17">
        <f>CORREL(Data!D$2:D$406,Data!C$2:C$406)</f>
        <v>0.39066928273933993</v>
      </c>
      <c r="D12" s="17">
        <f>CORREL(Data!D$2:D$406,Data!D$2:D$406)</f>
        <v>1</v>
      </c>
      <c r="E12" s="17">
        <f>CORREL(Data!D$2:D$406,Data!E$2:E$406)</f>
        <v>0.13902752111324926</v>
      </c>
      <c r="F12" s="17">
        <f>CORREL(Data!D$2:D$406,Data!F$2:F$406)</f>
        <v>0.95896689935062063</v>
      </c>
      <c r="G12" s="17">
        <f>CORREL(Data!D$2:D$406,Data!G$2:G$406)</f>
        <v>0.28555401855555407</v>
      </c>
      <c r="H12" s="17">
        <f>CORREL(Data!D$2:D$406,Data!H$2:H$406)</f>
        <v>3.9537900598443976E-2</v>
      </c>
      <c r="I12" s="17">
        <f>CORREL(Data!D$2:D$406,Data!I$2:I$406)</f>
        <v>8.638774174869493E-2</v>
      </c>
      <c r="J12" s="17">
        <f>CORREL(Data!D$2:D$406,Data!J$2:J$406)</f>
        <v>8.036412835178651E-2</v>
      </c>
      <c r="K12" s="17">
        <f>CORREL(Data!D$2:D$406,Data!K$2:K$406)</f>
        <v>1.7220084331020857E-2</v>
      </c>
      <c r="L12" s="17">
        <f>CORREL(Data!D$2:D$406,Data!L$2:L$406)</f>
        <v>0.30797615085228425</v>
      </c>
      <c r="M12" s="17">
        <f>CORREL(Data!D$2:D$406,Data!M$2:M$406)</f>
        <v>0.2682905647371075</v>
      </c>
      <c r="N12" s="17">
        <f>CORREL(Data!D$2:D$406,Data!N$2:N$406)</f>
        <v>0.30790267006400057</v>
      </c>
    </row>
    <row r="13" spans="1:14" x14ac:dyDescent="0.25">
      <c r="A13" s="13" t="s">
        <v>125</v>
      </c>
      <c r="B13" s="17">
        <f>CORREL(Data!E$2:E$406,Data!B$2:B$406)</f>
        <v>0.36009881355589263</v>
      </c>
      <c r="C13" s="17">
        <f>CORREL(Data!E$2:E$406,Data!C$2:C$406)</f>
        <v>-1.1038807247244544E-2</v>
      </c>
      <c r="D13" s="17">
        <f>CORREL(Data!E$2:E$406,Data!D$2:D$406)</f>
        <v>0.13902752111324926</v>
      </c>
      <c r="E13" s="17">
        <f>CORREL(Data!E$2:E$406,Data!E$2:E$406)</f>
        <v>1.0000000000000002</v>
      </c>
      <c r="F13" s="17">
        <f>CORREL(Data!E$2:E$406,Data!F$2:F$406)</f>
        <v>0.16311141134905957</v>
      </c>
      <c r="G13" s="17">
        <f>CORREL(Data!E$2:E$406,Data!G$2:G$406)</f>
        <v>-3.1605663091754764E-4</v>
      </c>
      <c r="H13" s="17">
        <f>CORREL(Data!E$2:E$406,Data!H$2:H$406)</f>
        <v>0.78863234430409057</v>
      </c>
      <c r="I13" s="17">
        <f>CORREL(Data!E$2:E$406,Data!I$2:I$406)</f>
        <v>0.3918148294353469</v>
      </c>
      <c r="J13" s="17">
        <f>CORREL(Data!E$2:E$406,Data!J$2:J$406)</f>
        <v>0.5022343051954663</v>
      </c>
      <c r="K13" s="17">
        <f>CORREL(Data!E$2:E$406,Data!K$2:K$406)</f>
        <v>0.11492683998252293</v>
      </c>
      <c r="L13" s="17">
        <f>CORREL(Data!E$2:E$406,Data!L$2:L$406)</f>
        <v>0.55855337039537545</v>
      </c>
      <c r="M13" s="17">
        <f>CORREL(Data!E$2:E$406,Data!M$2:M$406)</f>
        <v>0.49607150512328602</v>
      </c>
      <c r="N13" s="17">
        <f>CORREL(Data!E$2:E$406,Data!N$2:N$406)</f>
        <v>0.47061021361543764</v>
      </c>
    </row>
    <row r="14" spans="1:14" x14ac:dyDescent="0.25">
      <c r="A14" s="13" t="s">
        <v>126</v>
      </c>
      <c r="B14" s="17">
        <f>CORREL(Data!F$2:F$406,Data!B$2:B$406)</f>
        <v>-4.7304199484549093E-2</v>
      </c>
      <c r="C14" s="17">
        <f>CORREL(Data!F$2:F$406,Data!C$2:C$406)</f>
        <v>0.38458337801368297</v>
      </c>
      <c r="D14" s="17">
        <f>CORREL(Data!F$2:F$406,Data!D$2:D$406)</f>
        <v>0.95896689935062063</v>
      </c>
      <c r="E14" s="17">
        <f>CORREL(Data!F$2:F$406,Data!E$2:E$406)</f>
        <v>0.16311141134905957</v>
      </c>
      <c r="F14" s="17">
        <f>CORREL(Data!F$2:F$406,Data!F$2:F$406)</f>
        <v>1.0000000000000002</v>
      </c>
      <c r="G14" s="17">
        <f>CORREL(Data!F$2:F$406,Data!G$2:G$406)</f>
        <v>0.26614467550234583</v>
      </c>
      <c r="H14" s="17">
        <f>CORREL(Data!F$2:F$406,Data!H$2:H$406)</f>
        <v>0.10955789843480937</v>
      </c>
      <c r="I14" s="17">
        <f>CORREL(Data!F$2:F$406,Data!I$2:I$406)</f>
        <v>0.11630826314000862</v>
      </c>
      <c r="J14" s="17">
        <f>CORREL(Data!F$2:F$406,Data!J$2:J$406)</f>
        <v>0.11353066132284277</v>
      </c>
      <c r="K14" s="17">
        <f>CORREL(Data!F$2:F$406,Data!K$2:K$406)</f>
        <v>-1.3493641762167248E-2</v>
      </c>
      <c r="L14" s="17">
        <f>CORREL(Data!F$2:F$406,Data!L$2:L$406)</f>
        <v>0.29752465876234396</v>
      </c>
      <c r="M14" s="17">
        <f>CORREL(Data!F$2:F$406,Data!M$2:M$406)</f>
        <v>0.28147189678074053</v>
      </c>
      <c r="N14" s="17">
        <f>CORREL(Data!F$2:F$406,Data!N$2:N$406)</f>
        <v>0.30446686920951049</v>
      </c>
    </row>
    <row r="15" spans="1:14" x14ac:dyDescent="0.25">
      <c r="A15" s="13" t="s">
        <v>127</v>
      </c>
      <c r="B15" s="17">
        <f>CORREL(Data!G$2:G$406,Data!B$2:B$406)</f>
        <v>-0.11309748298045827</v>
      </c>
      <c r="C15" s="17">
        <f>CORREL(Data!G$2:G$406,Data!C$2:C$406)</f>
        <v>0.67174710081276068</v>
      </c>
      <c r="D15" s="17">
        <f>CORREL(Data!G$2:G$406,Data!D$2:D$406)</f>
        <v>0.28555401855555407</v>
      </c>
      <c r="E15" s="17">
        <f>CORREL(Data!G$2:G$406,Data!E$2:E$406)</f>
        <v>-3.1605663091754764E-4</v>
      </c>
      <c r="F15" s="17">
        <f>CORREL(Data!G$2:G$406,Data!F$2:F$406)</f>
        <v>0.26614467550234583</v>
      </c>
      <c r="G15" s="17">
        <f>CORREL(Data!G$2:G$406,Data!G$2:G$406)</f>
        <v>1.0000000000000002</v>
      </c>
      <c r="H15" s="17">
        <f>CORREL(Data!G$2:G$406,Data!H$2:H$406)</f>
        <v>-8.2293255958743608E-2</v>
      </c>
      <c r="I15" s="17">
        <f>CORREL(Data!G$2:G$406,Data!I$2:I$406)</f>
        <v>8.0079196898358782E-2</v>
      </c>
      <c r="J15" s="17">
        <f>CORREL(Data!G$2:G$406,Data!J$2:J$406)</f>
        <v>0.19004154575998031</v>
      </c>
      <c r="K15" s="17">
        <f>CORREL(Data!G$2:G$406,Data!K$2:K$406)</f>
        <v>-6.4549624322266144E-2</v>
      </c>
      <c r="L15" s="17">
        <f>CORREL(Data!G$2:G$406,Data!L$2:L$406)</f>
        <v>0.19555341768608978</v>
      </c>
      <c r="M15" s="17">
        <f>CORREL(Data!G$2:G$406,Data!M$2:M$406)</f>
        <v>0.27290607135291223</v>
      </c>
      <c r="N15" s="17">
        <f>CORREL(Data!G$2:G$406,Data!N$2:N$406)</f>
        <v>0.24839369147001286</v>
      </c>
    </row>
    <row r="16" spans="1:14" x14ac:dyDescent="0.25">
      <c r="A16" s="13" t="s">
        <v>128</v>
      </c>
      <c r="B16" s="17">
        <f>CORREL(Data!H$2:H$406,Data!B$2:B$406)</f>
        <v>0.35558865173482085</v>
      </c>
      <c r="C16" s="17">
        <f>CORREL(Data!H$2:H$406,Data!C$2:C$406)</f>
        <v>2.9479770942700954E-2</v>
      </c>
      <c r="D16" s="17">
        <f>CORREL(Data!H$2:H$406,Data!D$2:D$406)</f>
        <v>3.9537900598443976E-2</v>
      </c>
      <c r="E16" s="17">
        <f>CORREL(Data!H$2:H$406,Data!E$2:E$406)</f>
        <v>0.78863234430409057</v>
      </c>
      <c r="F16" s="17">
        <f>CORREL(Data!H$2:H$406,Data!F$2:F$406)</f>
        <v>0.10955789843480937</v>
      </c>
      <c r="G16" s="17">
        <f>CORREL(Data!H$2:H$406,Data!G$2:G$406)</f>
        <v>-8.2293255958743608E-2</v>
      </c>
      <c r="H16" s="17">
        <f>CORREL(Data!H$2:H$406,Data!H$2:H$406)</f>
        <v>1</v>
      </c>
      <c r="I16" s="17">
        <f>CORREL(Data!H$2:H$406,Data!I$2:I$406)</f>
        <v>0.38118170206702062</v>
      </c>
      <c r="J16" s="17">
        <f>CORREL(Data!H$2:H$406,Data!J$2:J$406)</f>
        <v>0.58855731104361864</v>
      </c>
      <c r="K16" s="17">
        <f>CORREL(Data!H$2:H$406,Data!K$2:K$406)</f>
        <v>0.16189495970783019</v>
      </c>
      <c r="L16" s="17">
        <f>CORREL(Data!H$2:H$406,Data!L$2:L$406)</f>
        <v>0.43992026116752236</v>
      </c>
      <c r="M16" s="17">
        <f>CORREL(Data!H$2:H$406,Data!M$2:M$406)</f>
        <v>0.45383320635698637</v>
      </c>
      <c r="N16" s="17">
        <f>CORREL(Data!H$2:H$406,Data!N$2:N$406)</f>
        <v>0.37161844744504335</v>
      </c>
    </row>
    <row r="17" spans="1:14" x14ac:dyDescent="0.25">
      <c r="A17" s="13" t="s">
        <v>129</v>
      </c>
      <c r="B17" s="17">
        <f>CORREL(Data!I$2:I$406,Data!B$2:B$406)</f>
        <v>0.60103012387233257</v>
      </c>
      <c r="C17" s="17">
        <f>CORREL(Data!I$2:I$406,Data!C$2:C$406)</f>
        <v>0.12081759191765998</v>
      </c>
      <c r="D17" s="17">
        <f>CORREL(Data!I$2:I$406,Data!D$2:D$406)</f>
        <v>8.638774174869493E-2</v>
      </c>
      <c r="E17" s="17">
        <f>CORREL(Data!I$2:I$406,Data!E$2:E$406)</f>
        <v>0.3918148294353469</v>
      </c>
      <c r="F17" s="17">
        <f>CORREL(Data!I$2:I$406,Data!F$2:F$406)</f>
        <v>0.11630826314000862</v>
      </c>
      <c r="G17" s="17">
        <f>CORREL(Data!I$2:I$406,Data!G$2:G$406)</f>
        <v>8.0079196898358782E-2</v>
      </c>
      <c r="H17" s="17">
        <f>CORREL(Data!I$2:I$406,Data!H$2:H$406)</f>
        <v>0.38118170206702062</v>
      </c>
      <c r="I17" s="17">
        <f>CORREL(Data!I$2:I$406,Data!I$2:I$406)</f>
        <v>1</v>
      </c>
      <c r="J17" s="17">
        <f>CORREL(Data!I$2:I$406,Data!J$2:J$406)</f>
        <v>0.18542447178008215</v>
      </c>
      <c r="K17" s="17">
        <f>CORREL(Data!I$2:I$406,Data!K$2:K$406)</f>
        <v>0.50410278300322497</v>
      </c>
      <c r="L17" s="17">
        <f>CORREL(Data!I$2:I$406,Data!L$2:L$406)</f>
        <v>0.39701910970386189</v>
      </c>
      <c r="M17" s="17">
        <f>CORREL(Data!I$2:I$406,Data!M$2:M$406)</f>
        <v>0.44613225644586602</v>
      </c>
      <c r="N17" s="17">
        <f>CORREL(Data!I$2:I$406,Data!N$2:N$406)</f>
        <v>0.33500169886965891</v>
      </c>
    </row>
    <row r="18" spans="1:14" x14ac:dyDescent="0.25">
      <c r="A18" s="13" t="s">
        <v>130</v>
      </c>
      <c r="B18" s="17">
        <f>CORREL(Data!J$2:J$406,Data!B$2:B$406)</f>
        <v>2.001377897811131E-2</v>
      </c>
      <c r="C18" s="17">
        <f>CORREL(Data!J$2:J$406,Data!C$2:C$406)</f>
        <v>9.0836075242637163E-2</v>
      </c>
      <c r="D18" s="17">
        <f>CORREL(Data!J$2:J$406,Data!D$2:D$406)</f>
        <v>8.036412835178651E-2</v>
      </c>
      <c r="E18" s="17">
        <f>CORREL(Data!J$2:J$406,Data!E$2:E$406)</f>
        <v>0.5022343051954663</v>
      </c>
      <c r="F18" s="17">
        <f>CORREL(Data!J$2:J$406,Data!F$2:F$406)</f>
        <v>0.11353066132284277</v>
      </c>
      <c r="G18" s="17">
        <f>CORREL(Data!J$2:J$406,Data!G$2:G$406)</f>
        <v>0.19004154575998031</v>
      </c>
      <c r="H18" s="17">
        <f>CORREL(Data!J$2:J$406,Data!H$2:H$406)</f>
        <v>0.58855731104361864</v>
      </c>
      <c r="I18" s="17">
        <f>CORREL(Data!J$2:J$406,Data!I$2:I$406)</f>
        <v>0.18542447178008215</v>
      </c>
      <c r="J18" s="17">
        <f>CORREL(Data!J$2:J$406,Data!J$2:J$406)</f>
        <v>1</v>
      </c>
      <c r="K18" s="17">
        <f>CORREL(Data!J$2:J$406,Data!K$2:K$406)</f>
        <v>4.3149928781415124E-2</v>
      </c>
      <c r="L18" s="17">
        <f>CORREL(Data!J$2:J$406,Data!L$2:L$406)</f>
        <v>0.50435673038040529</v>
      </c>
      <c r="M18" s="17">
        <f>CORREL(Data!J$2:J$406,Data!M$2:M$406)</f>
        <v>0.51738351990032383</v>
      </c>
      <c r="N18" s="17">
        <f>CORREL(Data!J$2:J$406,Data!N$2:N$406)</f>
        <v>0.50495320817382894</v>
      </c>
    </row>
    <row r="19" spans="1:14" x14ac:dyDescent="0.25">
      <c r="A19" s="13" t="s">
        <v>131</v>
      </c>
      <c r="B19" s="17">
        <f>CORREL(Data!K$2:K$406,Data!B$2:B$406)</f>
        <v>0.81048298982295042</v>
      </c>
      <c r="C19" s="17">
        <f>CORREL(Data!K$2:K$406,Data!C$2:C$406)</f>
        <v>-5.363860385795443E-2</v>
      </c>
      <c r="D19" s="17">
        <f>CORREL(Data!K$2:K$406,Data!D$2:D$406)</f>
        <v>1.7220084331020857E-2</v>
      </c>
      <c r="E19" s="17">
        <f>CORREL(Data!K$2:K$406,Data!E$2:E$406)</f>
        <v>0.11492683998252293</v>
      </c>
      <c r="F19" s="17">
        <f>CORREL(Data!K$2:K$406,Data!F$2:F$406)</f>
        <v>-1.3493641762167248E-2</v>
      </c>
      <c r="G19" s="17">
        <f>CORREL(Data!K$2:K$406,Data!G$2:G$406)</f>
        <v>-6.4549624322266144E-2</v>
      </c>
      <c r="H19" s="17">
        <f>CORREL(Data!K$2:K$406,Data!H$2:H$406)</f>
        <v>0.16189495970783019</v>
      </c>
      <c r="I19" s="17">
        <f>CORREL(Data!K$2:K$406,Data!I$2:I$406)</f>
        <v>0.50410278300322497</v>
      </c>
      <c r="J19" s="17">
        <f>CORREL(Data!K$2:K$406,Data!J$2:J$406)</f>
        <v>4.3149928781415124E-2</v>
      </c>
      <c r="K19" s="17">
        <f>CORREL(Data!K$2:K$406,Data!K$2:K$406)</f>
        <v>1.0000000000000002</v>
      </c>
      <c r="L19" s="17">
        <f>CORREL(Data!K$2:K$406,Data!L$2:L$406)</f>
        <v>0.38376891045602834</v>
      </c>
      <c r="M19" s="17">
        <f>CORREL(Data!K$2:K$406,Data!M$2:M$406)</f>
        <v>0.32381579434513008</v>
      </c>
      <c r="N19" s="17">
        <f>CORREL(Data!K$2:K$406,Data!N$2:N$406)</f>
        <v>0.16336089856961425</v>
      </c>
    </row>
    <row r="20" spans="1:14" x14ac:dyDescent="0.25">
      <c r="A20" s="13" t="s">
        <v>132</v>
      </c>
      <c r="B20" s="17">
        <f>CORREL(Data!L$2:L$406,Data!B$2:B$406)</f>
        <v>0.42466258767219667</v>
      </c>
      <c r="C20" s="17">
        <f>CORREL(Data!L$2:L$406,Data!C$2:C$406)</f>
        <v>0.21909641316804054</v>
      </c>
      <c r="D20" s="17">
        <f>CORREL(Data!L$2:L$406,Data!D$2:D$406)</f>
        <v>0.30797615085228425</v>
      </c>
      <c r="E20" s="17">
        <f>CORREL(Data!L$2:L$406,Data!E$2:E$406)</f>
        <v>0.55855337039537545</v>
      </c>
      <c r="F20" s="17">
        <f>CORREL(Data!L$2:L$406,Data!F$2:F$406)</f>
        <v>0.29752465876234396</v>
      </c>
      <c r="G20" s="17">
        <f>CORREL(Data!L$2:L$406,Data!G$2:G$406)</f>
        <v>0.19555341768608978</v>
      </c>
      <c r="H20" s="17">
        <f>CORREL(Data!L$2:L$406,Data!H$2:H$406)</f>
        <v>0.43992026116752236</v>
      </c>
      <c r="I20" s="17">
        <f>CORREL(Data!L$2:L$406,Data!I$2:I$406)</f>
        <v>0.39701910970386189</v>
      </c>
      <c r="J20" s="17">
        <f>CORREL(Data!L$2:L$406,Data!J$2:J$406)</f>
        <v>0.50435673038040529</v>
      </c>
      <c r="K20" s="17">
        <f>CORREL(Data!L$2:L$406,Data!K$2:K$406)</f>
        <v>0.38376891045602834</v>
      </c>
      <c r="L20" s="17">
        <f>CORREL(Data!L$2:L$406,Data!L$2:L$406)</f>
        <v>1.0000000000000002</v>
      </c>
      <c r="M20" s="17">
        <f>CORREL(Data!L$2:L$406,Data!M$2:M$406)</f>
        <v>0.82379181547698421</v>
      </c>
      <c r="N20" s="17">
        <f>CORREL(Data!L$2:L$406,Data!N$2:N$406)</f>
        <v>0.80183752177777556</v>
      </c>
    </row>
    <row r="21" spans="1:14" x14ac:dyDescent="0.25">
      <c r="A21" s="13" t="s">
        <v>133</v>
      </c>
      <c r="B21" s="17">
        <f>CORREL(Data!M$2:M$406,Data!B$2:B$406)</f>
        <v>0.36082335331396842</v>
      </c>
      <c r="C21" s="17">
        <f>CORREL(Data!M$2:M$406,Data!C$2:C$406)</f>
        <v>0.22502166850151437</v>
      </c>
      <c r="D21" s="17">
        <f>CORREL(Data!M$2:M$406,Data!D$2:D$406)</f>
        <v>0.2682905647371075</v>
      </c>
      <c r="E21" s="17">
        <f>CORREL(Data!M$2:M$406,Data!E$2:E$406)</f>
        <v>0.49607150512328602</v>
      </c>
      <c r="F21" s="17">
        <f>CORREL(Data!M$2:M$406,Data!F$2:F$406)</f>
        <v>0.28147189678074053</v>
      </c>
      <c r="G21" s="17">
        <f>CORREL(Data!M$2:M$406,Data!G$2:G$406)</f>
        <v>0.27290607135291223</v>
      </c>
      <c r="H21" s="17">
        <f>CORREL(Data!M$2:M$406,Data!H$2:H$406)</f>
        <v>0.45383320635698637</v>
      </c>
      <c r="I21" s="17">
        <f>CORREL(Data!M$2:M$406,Data!I$2:I$406)</f>
        <v>0.44613225644586602</v>
      </c>
      <c r="J21" s="17">
        <f>CORREL(Data!M$2:M$406,Data!J$2:J$406)</f>
        <v>0.51738351990032383</v>
      </c>
      <c r="K21" s="17">
        <f>CORREL(Data!M$2:M$406,Data!K$2:K$406)</f>
        <v>0.32381579434513008</v>
      </c>
      <c r="L21" s="17">
        <f>CORREL(Data!M$2:M$406,Data!L$2:L$406)</f>
        <v>0.82379181547698421</v>
      </c>
      <c r="M21" s="17">
        <f>CORREL(Data!M$2:M$406,Data!M$2:M$406)</f>
        <v>1</v>
      </c>
      <c r="N21" s="17">
        <f>CORREL(Data!M$2:M$406,Data!N$2:N$406)</f>
        <v>0.84413513027233644</v>
      </c>
    </row>
    <row r="22" spans="1:14" x14ac:dyDescent="0.25">
      <c r="A22" s="13" t="s">
        <v>134</v>
      </c>
      <c r="B22" s="17">
        <f>CORREL(Data!N$2:N$406,Data!B$2:B$406)</f>
        <v>0.19056756485493356</v>
      </c>
      <c r="C22" s="17">
        <f>CORREL(Data!N$2:N$406,Data!C$2:C$406)</f>
        <v>0.27367444457911067</v>
      </c>
      <c r="D22" s="17">
        <f>CORREL(Data!N$2:N$406,Data!D$2:D$406)</f>
        <v>0.30790267006400057</v>
      </c>
      <c r="E22" s="17">
        <f>CORREL(Data!N$2:N$406,Data!E$2:E$406)</f>
        <v>0.47061021361543764</v>
      </c>
      <c r="F22" s="17">
        <f>CORREL(Data!N$2:N$406,Data!F$2:F$406)</f>
        <v>0.30446686920951049</v>
      </c>
      <c r="G22" s="17">
        <f>CORREL(Data!N$2:N$406,Data!G$2:G$406)</f>
        <v>0.24839369147001286</v>
      </c>
      <c r="H22" s="17">
        <f>CORREL(Data!N$2:N$406,Data!H$2:H$406)</f>
        <v>0.37161844744504335</v>
      </c>
      <c r="I22" s="17">
        <f>CORREL(Data!N$2:N$406,Data!I$2:I$406)</f>
        <v>0.33500169886965891</v>
      </c>
      <c r="J22" s="17">
        <f>CORREL(Data!N$2:N$406,Data!J$2:J$406)</f>
        <v>0.50495320817382894</v>
      </c>
      <c r="K22" s="17">
        <f>CORREL(Data!N$2:N$406,Data!K$2:K$406)</f>
        <v>0.16336089856961425</v>
      </c>
      <c r="L22" s="17">
        <f>CORREL(Data!N$2:N$406,Data!L$2:L$406)</f>
        <v>0.80183752177777556</v>
      </c>
      <c r="M22" s="17">
        <f>CORREL(Data!N$2:N$406,Data!M$2:M$406)</f>
        <v>0.84413513027233644</v>
      </c>
      <c r="N22" s="17">
        <f>CORREL(Data!N$2:N$406,Data!N$2:N$406)</f>
        <v>1</v>
      </c>
    </row>
    <row r="23" spans="1:14" x14ac:dyDescent="0.25">
      <c r="A23" s="8" t="s">
        <v>135</v>
      </c>
    </row>
    <row r="25" spans="1:14" x14ac:dyDescent="0.25">
      <c r="A25" s="6" t="s">
        <v>136</v>
      </c>
      <c r="B25" s="6" t="s">
        <v>44</v>
      </c>
      <c r="C25" s="6" t="s">
        <v>137</v>
      </c>
      <c r="D25" s="6" t="s">
        <v>138</v>
      </c>
      <c r="E25" s="6" t="s">
        <v>139</v>
      </c>
      <c r="F25" s="6" t="s">
        <v>140</v>
      </c>
      <c r="G25" s="6" t="s">
        <v>138</v>
      </c>
      <c r="H25" s="6" t="s">
        <v>139</v>
      </c>
      <c r="I25" s="6" t="s">
        <v>141</v>
      </c>
      <c r="J25" s="6" t="s">
        <v>138</v>
      </c>
      <c r="K25" s="6" t="s">
        <v>139</v>
      </c>
    </row>
    <row r="26" spans="1:14" x14ac:dyDescent="0.25">
      <c r="A26" s="9" t="s">
        <v>46</v>
      </c>
      <c r="B26" s="9" t="s">
        <v>102</v>
      </c>
      <c r="C26" s="18">
        <f t="shared" ref="C26:C35" si="0">L10</f>
        <v>0.42466258767219667</v>
      </c>
      <c r="D26" s="19">
        <f t="shared" ref="D26:D35" si="1">_xlfn.T.DIST.2T(ABS(C26)*SQRT($B$5/(1-C26^2)),$B$5)</f>
        <v>3.6610721442497269E-19</v>
      </c>
      <c r="E26" s="9" t="str">
        <f t="shared" ref="E26:E35" si="2">IF(ABS(C26)&lt;0.1,"negligible",IF(ABS(C26)&lt;0.3,"weak",IF(ABS(C26)&lt;0.5,"moderate",IF(ABS(C26)&lt;0.7,"strong","very strong"))))</f>
        <v>moderate</v>
      </c>
      <c r="F26" s="18">
        <f t="shared" ref="F26:F35" si="3">M10</f>
        <v>0.36082335331396842</v>
      </c>
      <c r="G26" s="19">
        <f t="shared" ref="G26:G35" si="4">_xlfn.T.DIST.2T(ABS(F26)*SQRT($B$5/(1-F26^2)),$B$5)</f>
        <v>6.7374621308322551E-14</v>
      </c>
      <c r="H26" s="9" t="str">
        <f t="shared" ref="H26:H35" si="5">IF(ABS(F26)&lt;0.1,"negligible",IF(ABS(F26)&lt;0.3,"weak",IF(ABS(F26)&lt;0.5,"moderate",IF(ABS(F26)&lt;0.7,"strong","very strong"))))</f>
        <v>moderate</v>
      </c>
      <c r="I26" s="18">
        <f t="shared" ref="I26:I35" si="6">N10</f>
        <v>0.19056756485493356</v>
      </c>
      <c r="J26" s="19">
        <f t="shared" ref="J26:J35" si="7">_xlfn.T.DIST.2T(ABS(I26)*SQRT($B$5/(1-I26^2)),$B$5)</f>
        <v>1.1400888611409082E-4</v>
      </c>
      <c r="K26" s="9" t="str">
        <f t="shared" ref="K26:K35" si="8">IF(ABS(I26)&lt;0.1,"negligible",IF(ABS(I26)&lt;0.3,"weak",IF(ABS(I26)&lt;0.5,"moderate",IF(ABS(I26)&lt;0.7,"strong","very strong"))))</f>
        <v>weak</v>
      </c>
    </row>
    <row r="27" spans="1:14" x14ac:dyDescent="0.25">
      <c r="A27" s="9" t="s">
        <v>49</v>
      </c>
      <c r="B27" s="9" t="s">
        <v>103</v>
      </c>
      <c r="C27" s="18">
        <f t="shared" si="0"/>
        <v>0.21909641316804054</v>
      </c>
      <c r="D27" s="19">
        <f t="shared" si="1"/>
        <v>8.5957555800553843E-6</v>
      </c>
      <c r="E27" s="9" t="str">
        <f t="shared" si="2"/>
        <v>weak</v>
      </c>
      <c r="F27" s="18">
        <f t="shared" si="3"/>
        <v>0.22502166850151437</v>
      </c>
      <c r="G27" s="19">
        <f t="shared" si="4"/>
        <v>4.8019450885717292E-6</v>
      </c>
      <c r="H27" s="9" t="str">
        <f t="shared" si="5"/>
        <v>weak</v>
      </c>
      <c r="I27" s="18">
        <f t="shared" si="6"/>
        <v>0.27367444457911067</v>
      </c>
      <c r="J27" s="19">
        <f t="shared" si="7"/>
        <v>2.1709780098113775E-8</v>
      </c>
      <c r="K27" s="9" t="str">
        <f t="shared" si="8"/>
        <v>weak</v>
      </c>
    </row>
    <row r="28" spans="1:14" x14ac:dyDescent="0.25">
      <c r="A28" s="9" t="s">
        <v>51</v>
      </c>
      <c r="B28" s="9" t="s">
        <v>104</v>
      </c>
      <c r="C28" s="18">
        <f t="shared" si="0"/>
        <v>0.30797615085228425</v>
      </c>
      <c r="D28" s="19">
        <f t="shared" si="1"/>
        <v>2.3991992392177996E-10</v>
      </c>
      <c r="E28" s="9" t="str">
        <f t="shared" si="2"/>
        <v>moderate</v>
      </c>
      <c r="F28" s="18">
        <f t="shared" si="3"/>
        <v>0.2682905647371075</v>
      </c>
      <c r="G28" s="19">
        <f t="shared" si="4"/>
        <v>4.172156814703354E-8</v>
      </c>
      <c r="H28" s="9" t="str">
        <f t="shared" si="5"/>
        <v>weak</v>
      </c>
      <c r="I28" s="18">
        <f t="shared" si="6"/>
        <v>0.30790267006400057</v>
      </c>
      <c r="J28" s="19">
        <f t="shared" si="7"/>
        <v>2.4240427800411389E-10</v>
      </c>
      <c r="K28" s="9" t="str">
        <f t="shared" si="8"/>
        <v>moderate</v>
      </c>
    </row>
    <row r="29" spans="1:14" x14ac:dyDescent="0.25">
      <c r="A29" s="9" t="s">
        <v>53</v>
      </c>
      <c r="B29" s="9" t="s">
        <v>105</v>
      </c>
      <c r="C29" s="18">
        <f t="shared" si="0"/>
        <v>0.55855337039537545</v>
      </c>
      <c r="D29" s="19">
        <f t="shared" si="1"/>
        <v>1.336584542966327E-34</v>
      </c>
      <c r="E29" s="9" t="str">
        <f t="shared" si="2"/>
        <v>strong</v>
      </c>
      <c r="F29" s="18">
        <f t="shared" si="3"/>
        <v>0.49607150512328602</v>
      </c>
      <c r="G29" s="19">
        <f t="shared" si="4"/>
        <v>1.5152478426588526E-26</v>
      </c>
      <c r="H29" s="9" t="str">
        <f t="shared" si="5"/>
        <v>moderate</v>
      </c>
      <c r="I29" s="18">
        <f t="shared" si="6"/>
        <v>0.47061021361543764</v>
      </c>
      <c r="J29" s="19">
        <f t="shared" si="7"/>
        <v>1.0332425433219894E-23</v>
      </c>
      <c r="K29" s="9" t="str">
        <f t="shared" si="8"/>
        <v>moderate</v>
      </c>
    </row>
    <row r="30" spans="1:14" x14ac:dyDescent="0.25">
      <c r="A30" s="9" t="s">
        <v>55</v>
      </c>
      <c r="B30" s="9" t="s">
        <v>106</v>
      </c>
      <c r="C30" s="18">
        <f t="shared" si="0"/>
        <v>0.29752465876234396</v>
      </c>
      <c r="D30" s="19">
        <f t="shared" si="1"/>
        <v>1.0093418399832795E-9</v>
      </c>
      <c r="E30" s="9" t="str">
        <f t="shared" si="2"/>
        <v>weak</v>
      </c>
      <c r="F30" s="18">
        <f t="shared" si="3"/>
        <v>0.28147189678074053</v>
      </c>
      <c r="G30" s="19">
        <f t="shared" si="4"/>
        <v>8.2168095017061929E-9</v>
      </c>
      <c r="H30" s="9" t="str">
        <f t="shared" si="5"/>
        <v>weak</v>
      </c>
      <c r="I30" s="18">
        <f t="shared" si="6"/>
        <v>0.30446686920951049</v>
      </c>
      <c r="J30" s="19">
        <f t="shared" si="7"/>
        <v>3.9115644128069328E-10</v>
      </c>
      <c r="K30" s="9" t="str">
        <f t="shared" si="8"/>
        <v>moderate</v>
      </c>
    </row>
    <row r="31" spans="1:14" x14ac:dyDescent="0.25">
      <c r="A31" s="9" t="s">
        <v>57</v>
      </c>
      <c r="B31" s="9" t="s">
        <v>107</v>
      </c>
      <c r="C31" s="18">
        <f t="shared" si="0"/>
        <v>0.19555341768608978</v>
      </c>
      <c r="D31" s="19">
        <f t="shared" si="1"/>
        <v>7.4453543845928266E-5</v>
      </c>
      <c r="E31" s="9" t="str">
        <f t="shared" si="2"/>
        <v>weak</v>
      </c>
      <c r="F31" s="18">
        <f t="shared" si="3"/>
        <v>0.27290607135291223</v>
      </c>
      <c r="G31" s="19">
        <f t="shared" si="4"/>
        <v>2.3851998597426588E-8</v>
      </c>
      <c r="H31" s="9" t="str">
        <f t="shared" si="5"/>
        <v>weak</v>
      </c>
      <c r="I31" s="18">
        <f t="shared" si="6"/>
        <v>0.24839369147001286</v>
      </c>
      <c r="J31" s="19">
        <f t="shared" si="7"/>
        <v>4.1283647063380446E-7</v>
      </c>
      <c r="K31" s="9" t="str">
        <f t="shared" si="8"/>
        <v>weak</v>
      </c>
    </row>
    <row r="32" spans="1:14" x14ac:dyDescent="0.25">
      <c r="A32" s="9" t="s">
        <v>59</v>
      </c>
      <c r="B32" s="9" t="s">
        <v>108</v>
      </c>
      <c r="C32" s="18">
        <f t="shared" si="0"/>
        <v>0.43992026116752236</v>
      </c>
      <c r="D32" s="19">
        <f t="shared" si="1"/>
        <v>1.3453271894823396E-20</v>
      </c>
      <c r="E32" s="9" t="str">
        <f t="shared" si="2"/>
        <v>moderate</v>
      </c>
      <c r="F32" s="18">
        <f t="shared" si="3"/>
        <v>0.45383320635698637</v>
      </c>
      <c r="G32" s="19">
        <f t="shared" si="4"/>
        <v>5.6992325074349778E-22</v>
      </c>
      <c r="H32" s="9" t="str">
        <f t="shared" si="5"/>
        <v>moderate</v>
      </c>
      <c r="I32" s="18">
        <f t="shared" si="6"/>
        <v>0.37161844744504335</v>
      </c>
      <c r="J32" s="19">
        <f t="shared" si="7"/>
        <v>1.0399230211440668E-14</v>
      </c>
      <c r="K32" s="9" t="str">
        <f t="shared" si="8"/>
        <v>moderate</v>
      </c>
    </row>
    <row r="33" spans="1:11" x14ac:dyDescent="0.25">
      <c r="A33" s="9" t="s">
        <v>61</v>
      </c>
      <c r="B33" s="9" t="s">
        <v>109</v>
      </c>
      <c r="C33" s="18">
        <f t="shared" si="0"/>
        <v>0.39701910970386189</v>
      </c>
      <c r="D33" s="19">
        <f t="shared" si="1"/>
        <v>9.6403041986853358E-17</v>
      </c>
      <c r="E33" s="9" t="str">
        <f t="shared" si="2"/>
        <v>moderate</v>
      </c>
      <c r="F33" s="18">
        <f t="shared" si="3"/>
        <v>0.44613225644586602</v>
      </c>
      <c r="G33" s="19">
        <f t="shared" si="4"/>
        <v>3.3387147243478579E-21</v>
      </c>
      <c r="H33" s="9" t="str">
        <f t="shared" si="5"/>
        <v>moderate</v>
      </c>
      <c r="I33" s="18">
        <f t="shared" si="6"/>
        <v>0.33500169886965891</v>
      </c>
      <c r="J33" s="19">
        <f t="shared" si="7"/>
        <v>4.4544065397380593E-12</v>
      </c>
      <c r="K33" s="9" t="str">
        <f t="shared" si="8"/>
        <v>moderate</v>
      </c>
    </row>
    <row r="34" spans="1:11" x14ac:dyDescent="0.25">
      <c r="A34" s="9" t="s">
        <v>63</v>
      </c>
      <c r="B34" s="9" t="s">
        <v>110</v>
      </c>
      <c r="C34" s="18">
        <f t="shared" si="0"/>
        <v>0.50435673038040529</v>
      </c>
      <c r="D34" s="19">
        <f t="shared" si="1"/>
        <v>1.6068713958620118E-27</v>
      </c>
      <c r="E34" s="9" t="str">
        <f t="shared" si="2"/>
        <v>strong</v>
      </c>
      <c r="F34" s="18">
        <f t="shared" si="3"/>
        <v>0.51738351990032383</v>
      </c>
      <c r="G34" s="19">
        <f t="shared" si="4"/>
        <v>4.1578426700911126E-29</v>
      </c>
      <c r="H34" s="9" t="str">
        <f t="shared" si="5"/>
        <v>strong</v>
      </c>
      <c r="I34" s="18">
        <f t="shared" si="6"/>
        <v>0.50495320817382894</v>
      </c>
      <c r="J34" s="19">
        <f t="shared" si="7"/>
        <v>1.3639278515707848E-27</v>
      </c>
      <c r="K34" s="9" t="str">
        <f t="shared" si="8"/>
        <v>strong</v>
      </c>
    </row>
    <row r="35" spans="1:11" x14ac:dyDescent="0.25">
      <c r="A35" s="9" t="s">
        <v>65</v>
      </c>
      <c r="B35" s="9" t="s">
        <v>111</v>
      </c>
      <c r="C35" s="18">
        <f t="shared" si="0"/>
        <v>0.38376891045602834</v>
      </c>
      <c r="D35" s="19">
        <f t="shared" si="1"/>
        <v>1.1657135673425549E-15</v>
      </c>
      <c r="E35" s="9" t="str">
        <f t="shared" si="2"/>
        <v>moderate</v>
      </c>
      <c r="F35" s="18">
        <f t="shared" si="3"/>
        <v>0.32381579434513008</v>
      </c>
      <c r="G35" s="19">
        <f t="shared" si="4"/>
        <v>2.4342051723923316E-11</v>
      </c>
      <c r="H35" s="9" t="str">
        <f t="shared" si="5"/>
        <v>moderate</v>
      </c>
      <c r="I35" s="18">
        <f t="shared" si="6"/>
        <v>0.16336089856961425</v>
      </c>
      <c r="J35" s="19">
        <f t="shared" si="7"/>
        <v>9.6820729258995986E-4</v>
      </c>
      <c r="K35" s="9" t="str">
        <f t="shared" si="8"/>
        <v>weak</v>
      </c>
    </row>
    <row r="37" spans="1:11" x14ac:dyDescent="0.25">
      <c r="A37" s="13" t="s">
        <v>142</v>
      </c>
      <c r="C37" s="15">
        <f>COUNTIF(D26:D35,"&lt;"&amp;$B$4)+COUNTIF(G26:G35,"&lt;"&amp;$B$4)+COUNTIF(J26:J35,"&lt;"&amp;$B$4)</f>
        <v>30</v>
      </c>
    </row>
    <row r="38" spans="1:11" x14ac:dyDescent="0.25">
      <c r="A38" s="8" t="s">
        <v>143</v>
      </c>
    </row>
    <row r="39" spans="1:11" x14ac:dyDescent="0.25">
      <c r="A39" s="8" t="s">
        <v>144</v>
      </c>
    </row>
  </sheetData>
  <conditionalFormatting sqref="B10:N22">
    <cfRule type="colorScale" priority="1">
      <colorScale>
        <cfvo type="num" val="-1"/>
        <cfvo type="num" val="0"/>
        <cfvo type="num" val="1"/>
        <color rgb="FFE88A89"/>
        <color rgb="FFF0EFEC"/>
        <color rgb="FF6DA7EC"/>
      </colorScale>
    </cfRule>
  </conditionalFormatting>
  <pageMargins left="0.75" right="0.75" top="1" bottom="1" header="0.5" footer="0.5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I406"/>
  <sheetViews>
    <sheetView workbookViewId="0">
      <pane ySplit="1" topLeftCell="A2" activePane="bottomLeft" state="frozen"/>
      <selection pane="bottomLeft"/>
    </sheetView>
  </sheetViews>
  <sheetFormatPr defaultRowHeight="15" x14ac:dyDescent="0.25"/>
  <cols>
    <col min="1" max="1" width="7" customWidth="1"/>
    <col min="2" max="4" width="12" customWidth="1"/>
    <col min="5" max="5" width="14" customWidth="1"/>
    <col min="6" max="6" width="13" customWidth="1"/>
    <col min="7" max="7" width="14" customWidth="1"/>
  </cols>
  <sheetData>
    <row r="1" spans="1:9" ht="51" x14ac:dyDescent="0.25">
      <c r="A1" s="6" t="s">
        <v>76</v>
      </c>
      <c r="B1" s="6" t="s">
        <v>145</v>
      </c>
      <c r="C1" s="6" t="s">
        <v>146</v>
      </c>
      <c r="D1" s="6" t="s">
        <v>147</v>
      </c>
      <c r="E1" s="6" t="s">
        <v>148</v>
      </c>
      <c r="F1" s="6" t="s">
        <v>149</v>
      </c>
      <c r="G1" s="6" t="s">
        <v>150</v>
      </c>
    </row>
    <row r="2" spans="1:9" x14ac:dyDescent="0.25">
      <c r="A2" s="4">
        <v>8</v>
      </c>
      <c r="B2" s="4">
        <v>4</v>
      </c>
      <c r="C2" s="4">
        <v>4</v>
      </c>
      <c r="D2" s="20">
        <f t="shared" ref="D2:D65" si="0">AVERAGEIF($B$2:$B$406,B2,$C$2:$C$406)</f>
        <v>3.9882352941176471</v>
      </c>
      <c r="E2" s="20">
        <f t="shared" ref="E2:E65" si="1">(C2-D2)^2</f>
        <v>1.3840830449826891E-4</v>
      </c>
      <c r="F2" s="20">
        <f t="shared" ref="F2:F65" si="2">ABS(C2-D2)</f>
        <v>1.1764705882352899E-2</v>
      </c>
      <c r="G2" s="21">
        <f t="shared" ref="G2:G65" si="3">_xlfn.RANK.AVG(C2,$C$2:$C$406,1)</f>
        <v>112.5</v>
      </c>
      <c r="I2" s="8" t="s">
        <v>151</v>
      </c>
    </row>
    <row r="3" spans="1:9" x14ac:dyDescent="0.25">
      <c r="A3" s="4">
        <v>12</v>
      </c>
      <c r="B3" s="4">
        <v>4</v>
      </c>
      <c r="C3" s="4">
        <v>4</v>
      </c>
      <c r="D3" s="20">
        <f t="shared" si="0"/>
        <v>3.9882352941176471</v>
      </c>
      <c r="E3" s="20">
        <f t="shared" si="1"/>
        <v>1.3840830449826891E-4</v>
      </c>
      <c r="F3" s="20">
        <f t="shared" si="2"/>
        <v>1.1764705882352899E-2</v>
      </c>
      <c r="G3" s="21">
        <f t="shared" si="3"/>
        <v>112.5</v>
      </c>
      <c r="I3" s="8" t="s">
        <v>152</v>
      </c>
    </row>
    <row r="4" spans="1:9" x14ac:dyDescent="0.25">
      <c r="A4" s="4">
        <v>13</v>
      </c>
      <c r="B4" s="4">
        <v>4</v>
      </c>
      <c r="C4" s="4">
        <v>6</v>
      </c>
      <c r="D4" s="20">
        <f t="shared" si="0"/>
        <v>3.9882352941176471</v>
      </c>
      <c r="E4" s="20">
        <f t="shared" si="1"/>
        <v>4.04719723183391</v>
      </c>
      <c r="F4" s="20">
        <f t="shared" si="2"/>
        <v>2.0117647058823529</v>
      </c>
      <c r="G4" s="21">
        <f t="shared" si="3"/>
        <v>328</v>
      </c>
    </row>
    <row r="5" spans="1:9" x14ac:dyDescent="0.25">
      <c r="A5" s="4">
        <v>17</v>
      </c>
      <c r="B5" s="4">
        <v>4</v>
      </c>
      <c r="C5" s="4">
        <v>4</v>
      </c>
      <c r="D5" s="20">
        <f t="shared" si="0"/>
        <v>3.9882352941176471</v>
      </c>
      <c r="E5" s="20">
        <f t="shared" si="1"/>
        <v>1.3840830449826891E-4</v>
      </c>
      <c r="F5" s="20">
        <f t="shared" si="2"/>
        <v>1.1764705882352899E-2</v>
      </c>
      <c r="G5" s="21">
        <f t="shared" si="3"/>
        <v>112.5</v>
      </c>
    </row>
    <row r="6" spans="1:9" x14ac:dyDescent="0.25">
      <c r="A6" s="4">
        <v>18</v>
      </c>
      <c r="B6" s="4">
        <v>4</v>
      </c>
      <c r="C6" s="4">
        <v>4</v>
      </c>
      <c r="D6" s="20">
        <f t="shared" si="0"/>
        <v>3.9882352941176471</v>
      </c>
      <c r="E6" s="20">
        <f t="shared" si="1"/>
        <v>1.3840830449826891E-4</v>
      </c>
      <c r="F6" s="20">
        <f t="shared" si="2"/>
        <v>1.1764705882352899E-2</v>
      </c>
      <c r="G6" s="21">
        <f t="shared" si="3"/>
        <v>112.5</v>
      </c>
    </row>
    <row r="7" spans="1:9" x14ac:dyDescent="0.25">
      <c r="A7" s="4">
        <v>21</v>
      </c>
      <c r="B7" s="4">
        <v>4</v>
      </c>
      <c r="C7" s="4">
        <v>4</v>
      </c>
      <c r="D7" s="20">
        <f t="shared" si="0"/>
        <v>3.9882352941176471</v>
      </c>
      <c r="E7" s="20">
        <f t="shared" si="1"/>
        <v>1.3840830449826891E-4</v>
      </c>
      <c r="F7" s="20">
        <f t="shared" si="2"/>
        <v>1.1764705882352899E-2</v>
      </c>
      <c r="G7" s="21">
        <f t="shared" si="3"/>
        <v>112.5</v>
      </c>
    </row>
    <row r="8" spans="1:9" x14ac:dyDescent="0.25">
      <c r="A8" s="4">
        <v>22</v>
      </c>
      <c r="B8" s="4">
        <v>4</v>
      </c>
      <c r="C8" s="4">
        <v>4</v>
      </c>
      <c r="D8" s="20">
        <f t="shared" si="0"/>
        <v>3.9882352941176471</v>
      </c>
      <c r="E8" s="20">
        <f t="shared" si="1"/>
        <v>1.3840830449826891E-4</v>
      </c>
      <c r="F8" s="20">
        <f t="shared" si="2"/>
        <v>1.1764705882352899E-2</v>
      </c>
      <c r="G8" s="21">
        <f t="shared" si="3"/>
        <v>112.5</v>
      </c>
    </row>
    <row r="9" spans="1:9" x14ac:dyDescent="0.25">
      <c r="A9" s="4">
        <v>24</v>
      </c>
      <c r="B9" s="4">
        <v>4</v>
      </c>
      <c r="C9" s="4">
        <v>3</v>
      </c>
      <c r="D9" s="20">
        <f t="shared" si="0"/>
        <v>3.9882352941176471</v>
      </c>
      <c r="E9" s="20">
        <f t="shared" si="1"/>
        <v>0.9766089965397925</v>
      </c>
      <c r="F9" s="20">
        <f t="shared" si="2"/>
        <v>0.9882352941176471</v>
      </c>
      <c r="G9" s="21">
        <f t="shared" si="3"/>
        <v>19.5</v>
      </c>
    </row>
    <row r="10" spans="1:9" x14ac:dyDescent="0.25">
      <c r="A10" s="4">
        <v>50</v>
      </c>
      <c r="B10" s="4">
        <v>4</v>
      </c>
      <c r="C10" s="4">
        <v>4</v>
      </c>
      <c r="D10" s="20">
        <f t="shared" si="0"/>
        <v>3.9882352941176471</v>
      </c>
      <c r="E10" s="20">
        <f t="shared" si="1"/>
        <v>1.3840830449826891E-4</v>
      </c>
      <c r="F10" s="20">
        <f t="shared" si="2"/>
        <v>1.1764705882352899E-2</v>
      </c>
      <c r="G10" s="21">
        <f t="shared" si="3"/>
        <v>112.5</v>
      </c>
    </row>
    <row r="11" spans="1:9" x14ac:dyDescent="0.25">
      <c r="A11" s="4">
        <v>52</v>
      </c>
      <c r="B11" s="4">
        <v>4</v>
      </c>
      <c r="C11" s="4">
        <v>4</v>
      </c>
      <c r="D11" s="20">
        <f t="shared" si="0"/>
        <v>3.9882352941176471</v>
      </c>
      <c r="E11" s="20">
        <f t="shared" si="1"/>
        <v>1.3840830449826891E-4</v>
      </c>
      <c r="F11" s="20">
        <f t="shared" si="2"/>
        <v>1.1764705882352899E-2</v>
      </c>
      <c r="G11" s="21">
        <f t="shared" si="3"/>
        <v>112.5</v>
      </c>
    </row>
    <row r="12" spans="1:9" x14ac:dyDescent="0.25">
      <c r="A12" s="4">
        <v>54</v>
      </c>
      <c r="B12" s="4">
        <v>4</v>
      </c>
      <c r="C12" s="4">
        <v>4</v>
      </c>
      <c r="D12" s="20">
        <f t="shared" si="0"/>
        <v>3.9882352941176471</v>
      </c>
      <c r="E12" s="20">
        <f t="shared" si="1"/>
        <v>1.3840830449826891E-4</v>
      </c>
      <c r="F12" s="20">
        <f t="shared" si="2"/>
        <v>1.1764705882352899E-2</v>
      </c>
      <c r="G12" s="21">
        <f t="shared" si="3"/>
        <v>112.5</v>
      </c>
    </row>
    <row r="13" spans="1:9" x14ac:dyDescent="0.25">
      <c r="A13" s="4">
        <v>56</v>
      </c>
      <c r="B13" s="4">
        <v>4</v>
      </c>
      <c r="C13" s="4">
        <v>4</v>
      </c>
      <c r="D13" s="20">
        <f t="shared" si="0"/>
        <v>3.9882352941176471</v>
      </c>
      <c r="E13" s="20">
        <f t="shared" si="1"/>
        <v>1.3840830449826891E-4</v>
      </c>
      <c r="F13" s="20">
        <f t="shared" si="2"/>
        <v>1.1764705882352899E-2</v>
      </c>
      <c r="G13" s="21">
        <f t="shared" si="3"/>
        <v>112.5</v>
      </c>
    </row>
    <row r="14" spans="1:9" x14ac:dyDescent="0.25">
      <c r="A14" s="4">
        <v>58</v>
      </c>
      <c r="B14" s="4">
        <v>4</v>
      </c>
      <c r="C14" s="4">
        <v>3</v>
      </c>
      <c r="D14" s="20">
        <f t="shared" si="0"/>
        <v>3.9882352941176471</v>
      </c>
      <c r="E14" s="20">
        <f t="shared" si="1"/>
        <v>0.9766089965397925</v>
      </c>
      <c r="F14" s="20">
        <f t="shared" si="2"/>
        <v>0.9882352941176471</v>
      </c>
      <c r="G14" s="21">
        <f t="shared" si="3"/>
        <v>19.5</v>
      </c>
    </row>
    <row r="15" spans="1:9" x14ac:dyDescent="0.25">
      <c r="A15" s="4">
        <v>71</v>
      </c>
      <c r="B15" s="4">
        <v>4</v>
      </c>
      <c r="C15" s="4">
        <v>4</v>
      </c>
      <c r="D15" s="20">
        <f t="shared" si="0"/>
        <v>3.9882352941176471</v>
      </c>
      <c r="E15" s="20">
        <f t="shared" si="1"/>
        <v>1.3840830449826891E-4</v>
      </c>
      <c r="F15" s="20">
        <f t="shared" si="2"/>
        <v>1.1764705882352899E-2</v>
      </c>
      <c r="G15" s="21">
        <f t="shared" si="3"/>
        <v>112.5</v>
      </c>
    </row>
    <row r="16" spans="1:9" x14ac:dyDescent="0.25">
      <c r="A16" s="4">
        <v>75</v>
      </c>
      <c r="B16" s="4">
        <v>4</v>
      </c>
      <c r="C16" s="4">
        <v>4</v>
      </c>
      <c r="D16" s="20">
        <f t="shared" si="0"/>
        <v>3.9882352941176471</v>
      </c>
      <c r="E16" s="20">
        <f t="shared" si="1"/>
        <v>1.3840830449826891E-4</v>
      </c>
      <c r="F16" s="20">
        <f t="shared" si="2"/>
        <v>1.1764705882352899E-2</v>
      </c>
      <c r="G16" s="21">
        <f t="shared" si="3"/>
        <v>112.5</v>
      </c>
    </row>
    <row r="17" spans="1:7" x14ac:dyDescent="0.25">
      <c r="A17" s="4">
        <v>76</v>
      </c>
      <c r="B17" s="4">
        <v>4</v>
      </c>
      <c r="C17" s="4">
        <v>4</v>
      </c>
      <c r="D17" s="20">
        <f t="shared" si="0"/>
        <v>3.9882352941176471</v>
      </c>
      <c r="E17" s="20">
        <f t="shared" si="1"/>
        <v>1.3840830449826891E-4</v>
      </c>
      <c r="F17" s="20">
        <f t="shared" si="2"/>
        <v>1.1764705882352899E-2</v>
      </c>
      <c r="G17" s="21">
        <f t="shared" si="3"/>
        <v>112.5</v>
      </c>
    </row>
    <row r="18" spans="1:7" x14ac:dyDescent="0.25">
      <c r="A18" s="4">
        <v>80</v>
      </c>
      <c r="B18" s="4">
        <v>4</v>
      </c>
      <c r="C18" s="4">
        <v>4</v>
      </c>
      <c r="D18" s="20">
        <f t="shared" si="0"/>
        <v>3.9882352941176471</v>
      </c>
      <c r="E18" s="20">
        <f t="shared" si="1"/>
        <v>1.3840830449826891E-4</v>
      </c>
      <c r="F18" s="20">
        <f t="shared" si="2"/>
        <v>1.1764705882352899E-2</v>
      </c>
      <c r="G18" s="21">
        <f t="shared" si="3"/>
        <v>112.5</v>
      </c>
    </row>
    <row r="19" spans="1:7" x14ac:dyDescent="0.25">
      <c r="A19" s="4">
        <v>81</v>
      </c>
      <c r="B19" s="4">
        <v>4</v>
      </c>
      <c r="C19" s="4">
        <v>5</v>
      </c>
      <c r="D19" s="20">
        <f t="shared" si="0"/>
        <v>3.9882352941176471</v>
      </c>
      <c r="E19" s="20">
        <f t="shared" si="1"/>
        <v>1.023667820069204</v>
      </c>
      <c r="F19" s="20">
        <f t="shared" si="2"/>
        <v>1.0117647058823529</v>
      </c>
      <c r="G19" s="21">
        <f t="shared" si="3"/>
        <v>234</v>
      </c>
    </row>
    <row r="20" spans="1:7" x14ac:dyDescent="0.25">
      <c r="A20" s="4">
        <v>84</v>
      </c>
      <c r="B20" s="4">
        <v>4</v>
      </c>
      <c r="C20" s="4">
        <v>4</v>
      </c>
      <c r="D20" s="20">
        <f t="shared" si="0"/>
        <v>3.9882352941176471</v>
      </c>
      <c r="E20" s="20">
        <f t="shared" si="1"/>
        <v>1.3840830449826891E-4</v>
      </c>
      <c r="F20" s="20">
        <f t="shared" si="2"/>
        <v>1.1764705882352899E-2</v>
      </c>
      <c r="G20" s="21">
        <f t="shared" si="3"/>
        <v>112.5</v>
      </c>
    </row>
    <row r="21" spans="1:7" x14ac:dyDescent="0.25">
      <c r="A21" s="4">
        <v>85</v>
      </c>
      <c r="B21" s="4">
        <v>4</v>
      </c>
      <c r="C21" s="4">
        <v>4</v>
      </c>
      <c r="D21" s="20">
        <f t="shared" si="0"/>
        <v>3.9882352941176471</v>
      </c>
      <c r="E21" s="20">
        <f t="shared" si="1"/>
        <v>1.3840830449826891E-4</v>
      </c>
      <c r="F21" s="20">
        <f t="shared" si="2"/>
        <v>1.1764705882352899E-2</v>
      </c>
      <c r="G21" s="21">
        <f t="shared" si="3"/>
        <v>112.5</v>
      </c>
    </row>
    <row r="22" spans="1:7" x14ac:dyDescent="0.25">
      <c r="A22" s="4">
        <v>87</v>
      </c>
      <c r="B22" s="4">
        <v>4</v>
      </c>
      <c r="C22" s="4">
        <v>4</v>
      </c>
      <c r="D22" s="20">
        <f t="shared" si="0"/>
        <v>3.9882352941176471</v>
      </c>
      <c r="E22" s="20">
        <f t="shared" si="1"/>
        <v>1.3840830449826891E-4</v>
      </c>
      <c r="F22" s="20">
        <f t="shared" si="2"/>
        <v>1.1764705882352899E-2</v>
      </c>
      <c r="G22" s="21">
        <f t="shared" si="3"/>
        <v>112.5</v>
      </c>
    </row>
    <row r="23" spans="1:7" x14ac:dyDescent="0.25">
      <c r="A23" s="4">
        <v>113</v>
      </c>
      <c r="B23" s="4">
        <v>4</v>
      </c>
      <c r="C23" s="4">
        <v>4</v>
      </c>
      <c r="D23" s="20">
        <f t="shared" si="0"/>
        <v>3.9882352941176471</v>
      </c>
      <c r="E23" s="20">
        <f t="shared" si="1"/>
        <v>1.3840830449826891E-4</v>
      </c>
      <c r="F23" s="20">
        <f t="shared" si="2"/>
        <v>1.1764705882352899E-2</v>
      </c>
      <c r="G23" s="21">
        <f t="shared" si="3"/>
        <v>112.5</v>
      </c>
    </row>
    <row r="24" spans="1:7" x14ac:dyDescent="0.25">
      <c r="A24" s="4">
        <v>115</v>
      </c>
      <c r="B24" s="4">
        <v>4</v>
      </c>
      <c r="C24" s="4">
        <v>4</v>
      </c>
      <c r="D24" s="20">
        <f t="shared" si="0"/>
        <v>3.9882352941176471</v>
      </c>
      <c r="E24" s="20">
        <f t="shared" si="1"/>
        <v>1.3840830449826891E-4</v>
      </c>
      <c r="F24" s="20">
        <f t="shared" si="2"/>
        <v>1.1764705882352899E-2</v>
      </c>
      <c r="G24" s="21">
        <f t="shared" si="3"/>
        <v>112.5</v>
      </c>
    </row>
    <row r="25" spans="1:7" x14ac:dyDescent="0.25">
      <c r="A25" s="4">
        <v>117</v>
      </c>
      <c r="B25" s="4">
        <v>4</v>
      </c>
      <c r="C25" s="4">
        <v>4</v>
      </c>
      <c r="D25" s="20">
        <f t="shared" si="0"/>
        <v>3.9882352941176471</v>
      </c>
      <c r="E25" s="20">
        <f t="shared" si="1"/>
        <v>1.3840830449826891E-4</v>
      </c>
      <c r="F25" s="20">
        <f t="shared" si="2"/>
        <v>1.1764705882352899E-2</v>
      </c>
      <c r="G25" s="21">
        <f t="shared" si="3"/>
        <v>112.5</v>
      </c>
    </row>
    <row r="26" spans="1:7" x14ac:dyDescent="0.25">
      <c r="A26" s="4">
        <v>119</v>
      </c>
      <c r="B26" s="4">
        <v>4</v>
      </c>
      <c r="C26" s="4">
        <v>4</v>
      </c>
      <c r="D26" s="20">
        <f t="shared" si="0"/>
        <v>3.9882352941176471</v>
      </c>
      <c r="E26" s="20">
        <f t="shared" si="1"/>
        <v>1.3840830449826891E-4</v>
      </c>
      <c r="F26" s="20">
        <f t="shared" si="2"/>
        <v>1.1764705882352899E-2</v>
      </c>
      <c r="G26" s="21">
        <f t="shared" si="3"/>
        <v>112.5</v>
      </c>
    </row>
    <row r="27" spans="1:7" x14ac:dyDescent="0.25">
      <c r="A27" s="4">
        <v>121</v>
      </c>
      <c r="B27" s="4">
        <v>4</v>
      </c>
      <c r="C27" s="4">
        <v>3</v>
      </c>
      <c r="D27" s="20">
        <f t="shared" si="0"/>
        <v>3.9882352941176471</v>
      </c>
      <c r="E27" s="20">
        <f t="shared" si="1"/>
        <v>0.9766089965397925</v>
      </c>
      <c r="F27" s="20">
        <f t="shared" si="2"/>
        <v>0.9882352941176471</v>
      </c>
      <c r="G27" s="21">
        <f t="shared" si="3"/>
        <v>19.5</v>
      </c>
    </row>
    <row r="28" spans="1:7" x14ac:dyDescent="0.25">
      <c r="A28" s="4">
        <v>134</v>
      </c>
      <c r="B28" s="4">
        <v>4</v>
      </c>
      <c r="C28" s="4">
        <v>4</v>
      </c>
      <c r="D28" s="20">
        <f t="shared" si="0"/>
        <v>3.9882352941176471</v>
      </c>
      <c r="E28" s="20">
        <f t="shared" si="1"/>
        <v>1.3840830449826891E-4</v>
      </c>
      <c r="F28" s="20">
        <f t="shared" si="2"/>
        <v>1.1764705882352899E-2</v>
      </c>
      <c r="G28" s="21">
        <f t="shared" si="3"/>
        <v>112.5</v>
      </c>
    </row>
    <row r="29" spans="1:7" x14ac:dyDescent="0.25">
      <c r="A29" s="4">
        <v>138</v>
      </c>
      <c r="B29" s="4">
        <v>4</v>
      </c>
      <c r="C29" s="4">
        <v>4</v>
      </c>
      <c r="D29" s="20">
        <f t="shared" si="0"/>
        <v>3.9882352941176471</v>
      </c>
      <c r="E29" s="20">
        <f t="shared" si="1"/>
        <v>1.3840830449826891E-4</v>
      </c>
      <c r="F29" s="20">
        <f t="shared" si="2"/>
        <v>1.1764705882352899E-2</v>
      </c>
      <c r="G29" s="21">
        <f t="shared" si="3"/>
        <v>112.5</v>
      </c>
    </row>
    <row r="30" spans="1:7" x14ac:dyDescent="0.25">
      <c r="A30" s="4">
        <v>139</v>
      </c>
      <c r="B30" s="4">
        <v>4</v>
      </c>
      <c r="C30" s="4">
        <v>6</v>
      </c>
      <c r="D30" s="20">
        <f t="shared" si="0"/>
        <v>3.9882352941176471</v>
      </c>
      <c r="E30" s="20">
        <f t="shared" si="1"/>
        <v>4.04719723183391</v>
      </c>
      <c r="F30" s="20">
        <f t="shared" si="2"/>
        <v>2.0117647058823529</v>
      </c>
      <c r="G30" s="21">
        <f t="shared" si="3"/>
        <v>328</v>
      </c>
    </row>
    <row r="31" spans="1:7" x14ac:dyDescent="0.25">
      <c r="A31" s="4">
        <v>143</v>
      </c>
      <c r="B31" s="4">
        <v>4</v>
      </c>
      <c r="C31" s="4">
        <v>6</v>
      </c>
      <c r="D31" s="20">
        <f t="shared" si="0"/>
        <v>3.9882352941176471</v>
      </c>
      <c r="E31" s="20">
        <f t="shared" si="1"/>
        <v>4.04719723183391</v>
      </c>
      <c r="F31" s="20">
        <f t="shared" si="2"/>
        <v>2.0117647058823529</v>
      </c>
      <c r="G31" s="21">
        <f t="shared" si="3"/>
        <v>328</v>
      </c>
    </row>
    <row r="32" spans="1:7" x14ac:dyDescent="0.25">
      <c r="A32" s="4">
        <v>144</v>
      </c>
      <c r="B32" s="4">
        <v>4</v>
      </c>
      <c r="C32" s="4">
        <v>4</v>
      </c>
      <c r="D32" s="20">
        <f t="shared" si="0"/>
        <v>3.9882352941176471</v>
      </c>
      <c r="E32" s="20">
        <f t="shared" si="1"/>
        <v>1.3840830449826891E-4</v>
      </c>
      <c r="F32" s="20">
        <f t="shared" si="2"/>
        <v>1.1764705882352899E-2</v>
      </c>
      <c r="G32" s="21">
        <f t="shared" si="3"/>
        <v>112.5</v>
      </c>
    </row>
    <row r="33" spans="1:7" x14ac:dyDescent="0.25">
      <c r="A33" s="4">
        <v>147</v>
      </c>
      <c r="B33" s="4">
        <v>4</v>
      </c>
      <c r="C33" s="4">
        <v>4</v>
      </c>
      <c r="D33" s="20">
        <f t="shared" si="0"/>
        <v>3.9882352941176471</v>
      </c>
      <c r="E33" s="20">
        <f t="shared" si="1"/>
        <v>1.3840830449826891E-4</v>
      </c>
      <c r="F33" s="20">
        <f t="shared" si="2"/>
        <v>1.1764705882352899E-2</v>
      </c>
      <c r="G33" s="21">
        <f t="shared" si="3"/>
        <v>112.5</v>
      </c>
    </row>
    <row r="34" spans="1:7" x14ac:dyDescent="0.25">
      <c r="A34" s="4">
        <v>148</v>
      </c>
      <c r="B34" s="4">
        <v>4</v>
      </c>
      <c r="C34" s="4">
        <v>4</v>
      </c>
      <c r="D34" s="20">
        <f t="shared" si="0"/>
        <v>3.9882352941176471</v>
      </c>
      <c r="E34" s="20">
        <f t="shared" si="1"/>
        <v>1.3840830449826891E-4</v>
      </c>
      <c r="F34" s="20">
        <f t="shared" si="2"/>
        <v>1.1764705882352899E-2</v>
      </c>
      <c r="G34" s="21">
        <f t="shared" si="3"/>
        <v>112.5</v>
      </c>
    </row>
    <row r="35" spans="1:7" x14ac:dyDescent="0.25">
      <c r="A35" s="4">
        <v>150</v>
      </c>
      <c r="B35" s="4">
        <v>4</v>
      </c>
      <c r="C35" s="4">
        <v>3</v>
      </c>
      <c r="D35" s="20">
        <f t="shared" si="0"/>
        <v>3.9882352941176471</v>
      </c>
      <c r="E35" s="20">
        <f t="shared" si="1"/>
        <v>0.9766089965397925</v>
      </c>
      <c r="F35" s="20">
        <f t="shared" si="2"/>
        <v>0.9882352941176471</v>
      </c>
      <c r="G35" s="21">
        <f t="shared" si="3"/>
        <v>19.5</v>
      </c>
    </row>
    <row r="36" spans="1:7" x14ac:dyDescent="0.25">
      <c r="A36" s="4">
        <v>176</v>
      </c>
      <c r="B36" s="4">
        <v>4</v>
      </c>
      <c r="C36" s="4">
        <v>4</v>
      </c>
      <c r="D36" s="20">
        <f t="shared" si="0"/>
        <v>3.9882352941176471</v>
      </c>
      <c r="E36" s="20">
        <f t="shared" si="1"/>
        <v>1.3840830449826891E-4</v>
      </c>
      <c r="F36" s="20">
        <f t="shared" si="2"/>
        <v>1.1764705882352899E-2</v>
      </c>
      <c r="G36" s="21">
        <f t="shared" si="3"/>
        <v>112.5</v>
      </c>
    </row>
    <row r="37" spans="1:7" x14ac:dyDescent="0.25">
      <c r="A37" s="4">
        <v>178</v>
      </c>
      <c r="B37" s="4">
        <v>4</v>
      </c>
      <c r="C37" s="4">
        <v>4</v>
      </c>
      <c r="D37" s="20">
        <f t="shared" si="0"/>
        <v>3.9882352941176471</v>
      </c>
      <c r="E37" s="20">
        <f t="shared" si="1"/>
        <v>1.3840830449826891E-4</v>
      </c>
      <c r="F37" s="20">
        <f t="shared" si="2"/>
        <v>1.1764705882352899E-2</v>
      </c>
      <c r="G37" s="21">
        <f t="shared" si="3"/>
        <v>112.5</v>
      </c>
    </row>
    <row r="38" spans="1:7" x14ac:dyDescent="0.25">
      <c r="A38" s="4">
        <v>180</v>
      </c>
      <c r="B38" s="4">
        <v>4</v>
      </c>
      <c r="C38" s="4">
        <v>4</v>
      </c>
      <c r="D38" s="20">
        <f t="shared" si="0"/>
        <v>3.9882352941176471</v>
      </c>
      <c r="E38" s="20">
        <f t="shared" si="1"/>
        <v>1.3840830449826891E-4</v>
      </c>
      <c r="F38" s="20">
        <f t="shared" si="2"/>
        <v>1.1764705882352899E-2</v>
      </c>
      <c r="G38" s="21">
        <f t="shared" si="3"/>
        <v>112.5</v>
      </c>
    </row>
    <row r="39" spans="1:7" x14ac:dyDescent="0.25">
      <c r="A39" s="4">
        <v>182</v>
      </c>
      <c r="B39" s="4">
        <v>4</v>
      </c>
      <c r="C39" s="4">
        <v>4</v>
      </c>
      <c r="D39" s="20">
        <f t="shared" si="0"/>
        <v>3.9882352941176471</v>
      </c>
      <c r="E39" s="20">
        <f t="shared" si="1"/>
        <v>1.3840830449826891E-4</v>
      </c>
      <c r="F39" s="20">
        <f t="shared" si="2"/>
        <v>1.1764705882352899E-2</v>
      </c>
      <c r="G39" s="21">
        <f t="shared" si="3"/>
        <v>112.5</v>
      </c>
    </row>
    <row r="40" spans="1:7" x14ac:dyDescent="0.25">
      <c r="A40" s="4">
        <v>184</v>
      </c>
      <c r="B40" s="4">
        <v>4</v>
      </c>
      <c r="C40" s="4">
        <v>3</v>
      </c>
      <c r="D40" s="20">
        <f t="shared" si="0"/>
        <v>3.9882352941176471</v>
      </c>
      <c r="E40" s="20">
        <f t="shared" si="1"/>
        <v>0.9766089965397925</v>
      </c>
      <c r="F40" s="20">
        <f t="shared" si="2"/>
        <v>0.9882352941176471</v>
      </c>
      <c r="G40" s="21">
        <f t="shared" si="3"/>
        <v>19.5</v>
      </c>
    </row>
    <row r="41" spans="1:7" x14ac:dyDescent="0.25">
      <c r="A41" s="4">
        <v>191</v>
      </c>
      <c r="B41" s="4">
        <v>4</v>
      </c>
      <c r="C41" s="4">
        <v>4</v>
      </c>
      <c r="D41" s="20">
        <f t="shared" si="0"/>
        <v>3.9882352941176471</v>
      </c>
      <c r="E41" s="20">
        <f t="shared" si="1"/>
        <v>1.3840830449826891E-4</v>
      </c>
      <c r="F41" s="20">
        <f t="shared" si="2"/>
        <v>1.1764705882352899E-2</v>
      </c>
      <c r="G41" s="21">
        <f t="shared" si="3"/>
        <v>112.5</v>
      </c>
    </row>
    <row r="42" spans="1:7" x14ac:dyDescent="0.25">
      <c r="A42" s="4">
        <v>195</v>
      </c>
      <c r="B42" s="4">
        <v>4</v>
      </c>
      <c r="C42" s="4">
        <v>4</v>
      </c>
      <c r="D42" s="20">
        <f t="shared" si="0"/>
        <v>3.9882352941176471</v>
      </c>
      <c r="E42" s="20">
        <f t="shared" si="1"/>
        <v>1.3840830449826891E-4</v>
      </c>
      <c r="F42" s="20">
        <f t="shared" si="2"/>
        <v>1.1764705882352899E-2</v>
      </c>
      <c r="G42" s="21">
        <f t="shared" si="3"/>
        <v>112.5</v>
      </c>
    </row>
    <row r="43" spans="1:7" x14ac:dyDescent="0.25">
      <c r="A43" s="4">
        <v>198</v>
      </c>
      <c r="B43" s="4">
        <v>4</v>
      </c>
      <c r="C43" s="4">
        <v>4</v>
      </c>
      <c r="D43" s="20">
        <f t="shared" si="0"/>
        <v>3.9882352941176471</v>
      </c>
      <c r="E43" s="20">
        <f t="shared" si="1"/>
        <v>1.3840830449826891E-4</v>
      </c>
      <c r="F43" s="20">
        <f t="shared" si="2"/>
        <v>1.1764705882352899E-2</v>
      </c>
      <c r="G43" s="21">
        <f t="shared" si="3"/>
        <v>112.5</v>
      </c>
    </row>
    <row r="44" spans="1:7" x14ac:dyDescent="0.25">
      <c r="A44" s="4">
        <v>208</v>
      </c>
      <c r="B44" s="4">
        <v>4</v>
      </c>
      <c r="C44" s="4">
        <v>4</v>
      </c>
      <c r="D44" s="20">
        <f t="shared" si="0"/>
        <v>3.9882352941176471</v>
      </c>
      <c r="E44" s="20">
        <f t="shared" si="1"/>
        <v>1.3840830449826891E-4</v>
      </c>
      <c r="F44" s="20">
        <f t="shared" si="2"/>
        <v>1.1764705882352899E-2</v>
      </c>
      <c r="G44" s="21">
        <f t="shared" si="3"/>
        <v>112.5</v>
      </c>
    </row>
    <row r="45" spans="1:7" x14ac:dyDescent="0.25">
      <c r="A45" s="4">
        <v>212</v>
      </c>
      <c r="B45" s="4">
        <v>4</v>
      </c>
      <c r="C45" s="4">
        <v>4</v>
      </c>
      <c r="D45" s="20">
        <f t="shared" si="0"/>
        <v>3.9882352941176471</v>
      </c>
      <c r="E45" s="20">
        <f t="shared" si="1"/>
        <v>1.3840830449826891E-4</v>
      </c>
      <c r="F45" s="20">
        <f t="shared" si="2"/>
        <v>1.1764705882352899E-2</v>
      </c>
      <c r="G45" s="21">
        <f t="shared" si="3"/>
        <v>112.5</v>
      </c>
    </row>
    <row r="46" spans="1:7" x14ac:dyDescent="0.25">
      <c r="A46" s="4">
        <v>213</v>
      </c>
      <c r="B46" s="4">
        <v>4</v>
      </c>
      <c r="C46" s="4">
        <v>4</v>
      </c>
      <c r="D46" s="20">
        <f t="shared" si="0"/>
        <v>3.9882352941176471</v>
      </c>
      <c r="E46" s="20">
        <f t="shared" si="1"/>
        <v>1.3840830449826891E-4</v>
      </c>
      <c r="F46" s="20">
        <f t="shared" si="2"/>
        <v>1.1764705882352899E-2</v>
      </c>
      <c r="G46" s="21">
        <f t="shared" si="3"/>
        <v>112.5</v>
      </c>
    </row>
    <row r="47" spans="1:7" x14ac:dyDescent="0.25">
      <c r="A47" s="4">
        <v>217</v>
      </c>
      <c r="B47" s="4">
        <v>4</v>
      </c>
      <c r="C47" s="4">
        <v>4</v>
      </c>
      <c r="D47" s="20">
        <f t="shared" si="0"/>
        <v>3.9882352941176471</v>
      </c>
      <c r="E47" s="20">
        <f t="shared" si="1"/>
        <v>1.3840830449826891E-4</v>
      </c>
      <c r="F47" s="20">
        <f t="shared" si="2"/>
        <v>1.1764705882352899E-2</v>
      </c>
      <c r="G47" s="21">
        <f t="shared" si="3"/>
        <v>112.5</v>
      </c>
    </row>
    <row r="48" spans="1:7" x14ac:dyDescent="0.25">
      <c r="A48" s="4">
        <v>218</v>
      </c>
      <c r="B48" s="4">
        <v>4</v>
      </c>
      <c r="C48" s="4">
        <v>4</v>
      </c>
      <c r="D48" s="20">
        <f t="shared" si="0"/>
        <v>3.9882352941176471</v>
      </c>
      <c r="E48" s="20">
        <f t="shared" si="1"/>
        <v>1.3840830449826891E-4</v>
      </c>
      <c r="F48" s="20">
        <f t="shared" si="2"/>
        <v>1.1764705882352899E-2</v>
      </c>
      <c r="G48" s="21">
        <f t="shared" si="3"/>
        <v>112.5</v>
      </c>
    </row>
    <row r="49" spans="1:7" x14ac:dyDescent="0.25">
      <c r="A49" s="4">
        <v>221</v>
      </c>
      <c r="B49" s="4">
        <v>4</v>
      </c>
      <c r="C49" s="4">
        <v>4</v>
      </c>
      <c r="D49" s="20">
        <f t="shared" si="0"/>
        <v>3.9882352941176471</v>
      </c>
      <c r="E49" s="20">
        <f t="shared" si="1"/>
        <v>1.3840830449826891E-4</v>
      </c>
      <c r="F49" s="20">
        <f t="shared" si="2"/>
        <v>1.1764705882352899E-2</v>
      </c>
      <c r="G49" s="21">
        <f t="shared" si="3"/>
        <v>112.5</v>
      </c>
    </row>
    <row r="50" spans="1:7" x14ac:dyDescent="0.25">
      <c r="A50" s="4">
        <v>222</v>
      </c>
      <c r="B50" s="4">
        <v>4</v>
      </c>
      <c r="C50" s="4">
        <v>4</v>
      </c>
      <c r="D50" s="20">
        <f t="shared" si="0"/>
        <v>3.9882352941176471</v>
      </c>
      <c r="E50" s="20">
        <f t="shared" si="1"/>
        <v>1.3840830449826891E-4</v>
      </c>
      <c r="F50" s="20">
        <f t="shared" si="2"/>
        <v>1.1764705882352899E-2</v>
      </c>
      <c r="G50" s="21">
        <f t="shared" si="3"/>
        <v>112.5</v>
      </c>
    </row>
    <row r="51" spans="1:7" x14ac:dyDescent="0.25">
      <c r="A51" s="4">
        <v>224</v>
      </c>
      <c r="B51" s="4">
        <v>4</v>
      </c>
      <c r="C51" s="4">
        <v>3</v>
      </c>
      <c r="D51" s="20">
        <f t="shared" si="0"/>
        <v>3.9882352941176471</v>
      </c>
      <c r="E51" s="20">
        <f t="shared" si="1"/>
        <v>0.9766089965397925</v>
      </c>
      <c r="F51" s="20">
        <f t="shared" si="2"/>
        <v>0.9882352941176471</v>
      </c>
      <c r="G51" s="21">
        <f t="shared" si="3"/>
        <v>19.5</v>
      </c>
    </row>
    <row r="52" spans="1:7" x14ac:dyDescent="0.25">
      <c r="A52" s="4">
        <v>250</v>
      </c>
      <c r="B52" s="4">
        <v>4</v>
      </c>
      <c r="C52" s="4">
        <v>4</v>
      </c>
      <c r="D52" s="20">
        <f t="shared" si="0"/>
        <v>3.9882352941176471</v>
      </c>
      <c r="E52" s="20">
        <f t="shared" si="1"/>
        <v>1.3840830449826891E-4</v>
      </c>
      <c r="F52" s="20">
        <f t="shared" si="2"/>
        <v>1.1764705882352899E-2</v>
      </c>
      <c r="G52" s="21">
        <f t="shared" si="3"/>
        <v>112.5</v>
      </c>
    </row>
    <row r="53" spans="1:7" x14ac:dyDescent="0.25">
      <c r="A53" s="4">
        <v>252</v>
      </c>
      <c r="B53" s="4">
        <v>4</v>
      </c>
      <c r="C53" s="4">
        <v>4</v>
      </c>
      <c r="D53" s="20">
        <f t="shared" si="0"/>
        <v>3.9882352941176471</v>
      </c>
      <c r="E53" s="20">
        <f t="shared" si="1"/>
        <v>1.3840830449826891E-4</v>
      </c>
      <c r="F53" s="20">
        <f t="shared" si="2"/>
        <v>1.1764705882352899E-2</v>
      </c>
      <c r="G53" s="21">
        <f t="shared" si="3"/>
        <v>112.5</v>
      </c>
    </row>
    <row r="54" spans="1:7" x14ac:dyDescent="0.25">
      <c r="A54" s="4">
        <v>254</v>
      </c>
      <c r="B54" s="4">
        <v>4</v>
      </c>
      <c r="C54" s="4">
        <v>4</v>
      </c>
      <c r="D54" s="20">
        <f t="shared" si="0"/>
        <v>3.9882352941176471</v>
      </c>
      <c r="E54" s="20">
        <f t="shared" si="1"/>
        <v>1.3840830449826891E-4</v>
      </c>
      <c r="F54" s="20">
        <f t="shared" si="2"/>
        <v>1.1764705882352899E-2</v>
      </c>
      <c r="G54" s="21">
        <f t="shared" si="3"/>
        <v>112.5</v>
      </c>
    </row>
    <row r="55" spans="1:7" x14ac:dyDescent="0.25">
      <c r="A55" s="4">
        <v>256</v>
      </c>
      <c r="B55" s="4">
        <v>4</v>
      </c>
      <c r="C55" s="4">
        <v>4</v>
      </c>
      <c r="D55" s="20">
        <f t="shared" si="0"/>
        <v>3.9882352941176471</v>
      </c>
      <c r="E55" s="20">
        <f t="shared" si="1"/>
        <v>1.3840830449826891E-4</v>
      </c>
      <c r="F55" s="20">
        <f t="shared" si="2"/>
        <v>1.1764705882352899E-2</v>
      </c>
      <c r="G55" s="21">
        <f t="shared" si="3"/>
        <v>112.5</v>
      </c>
    </row>
    <row r="56" spans="1:7" x14ac:dyDescent="0.25">
      <c r="A56" s="4">
        <v>258</v>
      </c>
      <c r="B56" s="4">
        <v>4</v>
      </c>
      <c r="C56" s="4">
        <v>3</v>
      </c>
      <c r="D56" s="20">
        <f t="shared" si="0"/>
        <v>3.9882352941176471</v>
      </c>
      <c r="E56" s="20">
        <f t="shared" si="1"/>
        <v>0.9766089965397925</v>
      </c>
      <c r="F56" s="20">
        <f t="shared" si="2"/>
        <v>0.9882352941176471</v>
      </c>
      <c r="G56" s="21">
        <f t="shared" si="3"/>
        <v>19.5</v>
      </c>
    </row>
    <row r="57" spans="1:7" x14ac:dyDescent="0.25">
      <c r="A57" s="4">
        <v>271</v>
      </c>
      <c r="B57" s="4">
        <v>4</v>
      </c>
      <c r="C57" s="4">
        <v>4</v>
      </c>
      <c r="D57" s="20">
        <f t="shared" si="0"/>
        <v>3.9882352941176471</v>
      </c>
      <c r="E57" s="20">
        <f t="shared" si="1"/>
        <v>1.3840830449826891E-4</v>
      </c>
      <c r="F57" s="20">
        <f t="shared" si="2"/>
        <v>1.1764705882352899E-2</v>
      </c>
      <c r="G57" s="21">
        <f t="shared" si="3"/>
        <v>112.5</v>
      </c>
    </row>
    <row r="58" spans="1:7" x14ac:dyDescent="0.25">
      <c r="A58" s="4">
        <v>275</v>
      </c>
      <c r="B58" s="4">
        <v>4</v>
      </c>
      <c r="C58" s="4">
        <v>4</v>
      </c>
      <c r="D58" s="20">
        <f t="shared" si="0"/>
        <v>3.9882352941176471</v>
      </c>
      <c r="E58" s="20">
        <f t="shared" si="1"/>
        <v>1.3840830449826891E-4</v>
      </c>
      <c r="F58" s="20">
        <f t="shared" si="2"/>
        <v>1.1764705882352899E-2</v>
      </c>
      <c r="G58" s="21">
        <f t="shared" si="3"/>
        <v>112.5</v>
      </c>
    </row>
    <row r="59" spans="1:7" x14ac:dyDescent="0.25">
      <c r="A59" s="4">
        <v>276</v>
      </c>
      <c r="B59" s="4">
        <v>4</v>
      </c>
      <c r="C59" s="4">
        <v>4</v>
      </c>
      <c r="D59" s="20">
        <f t="shared" si="0"/>
        <v>3.9882352941176471</v>
      </c>
      <c r="E59" s="20">
        <f t="shared" si="1"/>
        <v>1.3840830449826891E-4</v>
      </c>
      <c r="F59" s="20">
        <f t="shared" si="2"/>
        <v>1.1764705882352899E-2</v>
      </c>
      <c r="G59" s="21">
        <f t="shared" si="3"/>
        <v>112.5</v>
      </c>
    </row>
    <row r="60" spans="1:7" x14ac:dyDescent="0.25">
      <c r="A60" s="4">
        <v>280</v>
      </c>
      <c r="B60" s="4">
        <v>4</v>
      </c>
      <c r="C60" s="4">
        <v>4</v>
      </c>
      <c r="D60" s="20">
        <f t="shared" si="0"/>
        <v>3.9882352941176471</v>
      </c>
      <c r="E60" s="20">
        <f t="shared" si="1"/>
        <v>1.3840830449826891E-4</v>
      </c>
      <c r="F60" s="20">
        <f t="shared" si="2"/>
        <v>1.1764705882352899E-2</v>
      </c>
      <c r="G60" s="21">
        <f t="shared" si="3"/>
        <v>112.5</v>
      </c>
    </row>
    <row r="61" spans="1:7" x14ac:dyDescent="0.25">
      <c r="A61" s="4">
        <v>281</v>
      </c>
      <c r="B61" s="4">
        <v>4</v>
      </c>
      <c r="C61" s="4">
        <v>4</v>
      </c>
      <c r="D61" s="20">
        <f t="shared" si="0"/>
        <v>3.9882352941176471</v>
      </c>
      <c r="E61" s="20">
        <f t="shared" si="1"/>
        <v>1.3840830449826891E-4</v>
      </c>
      <c r="F61" s="20">
        <f t="shared" si="2"/>
        <v>1.1764705882352899E-2</v>
      </c>
      <c r="G61" s="21">
        <f t="shared" si="3"/>
        <v>112.5</v>
      </c>
    </row>
    <row r="62" spans="1:7" x14ac:dyDescent="0.25">
      <c r="A62" s="4">
        <v>284</v>
      </c>
      <c r="B62" s="4">
        <v>4</v>
      </c>
      <c r="C62" s="4">
        <v>4</v>
      </c>
      <c r="D62" s="20">
        <f t="shared" si="0"/>
        <v>3.9882352941176471</v>
      </c>
      <c r="E62" s="20">
        <f t="shared" si="1"/>
        <v>1.3840830449826891E-4</v>
      </c>
      <c r="F62" s="20">
        <f t="shared" si="2"/>
        <v>1.1764705882352899E-2</v>
      </c>
      <c r="G62" s="21">
        <f t="shared" si="3"/>
        <v>112.5</v>
      </c>
    </row>
    <row r="63" spans="1:7" x14ac:dyDescent="0.25">
      <c r="A63" s="4">
        <v>285</v>
      </c>
      <c r="B63" s="4">
        <v>4</v>
      </c>
      <c r="C63" s="4">
        <v>4</v>
      </c>
      <c r="D63" s="20">
        <f t="shared" si="0"/>
        <v>3.9882352941176471</v>
      </c>
      <c r="E63" s="20">
        <f t="shared" si="1"/>
        <v>1.3840830449826891E-4</v>
      </c>
      <c r="F63" s="20">
        <f t="shared" si="2"/>
        <v>1.1764705882352899E-2</v>
      </c>
      <c r="G63" s="21">
        <f t="shared" si="3"/>
        <v>112.5</v>
      </c>
    </row>
    <row r="64" spans="1:7" x14ac:dyDescent="0.25">
      <c r="A64" s="4">
        <v>287</v>
      </c>
      <c r="B64" s="4">
        <v>4</v>
      </c>
      <c r="C64" s="4">
        <v>3</v>
      </c>
      <c r="D64" s="20">
        <f t="shared" si="0"/>
        <v>3.9882352941176471</v>
      </c>
      <c r="E64" s="20">
        <f t="shared" si="1"/>
        <v>0.9766089965397925</v>
      </c>
      <c r="F64" s="20">
        <f t="shared" si="2"/>
        <v>0.9882352941176471</v>
      </c>
      <c r="G64" s="21">
        <f t="shared" si="3"/>
        <v>19.5</v>
      </c>
    </row>
    <row r="65" spans="1:7" x14ac:dyDescent="0.25">
      <c r="A65" s="4">
        <v>313</v>
      </c>
      <c r="B65" s="4">
        <v>4</v>
      </c>
      <c r="C65" s="4">
        <v>4</v>
      </c>
      <c r="D65" s="20">
        <f t="shared" si="0"/>
        <v>3.9882352941176471</v>
      </c>
      <c r="E65" s="20">
        <f t="shared" si="1"/>
        <v>1.3840830449826891E-4</v>
      </c>
      <c r="F65" s="20">
        <f t="shared" si="2"/>
        <v>1.1764705882352899E-2</v>
      </c>
      <c r="G65" s="21">
        <f t="shared" si="3"/>
        <v>112.5</v>
      </c>
    </row>
    <row r="66" spans="1:7" x14ac:dyDescent="0.25">
      <c r="A66" s="4">
        <v>315</v>
      </c>
      <c r="B66" s="4">
        <v>4</v>
      </c>
      <c r="C66" s="4">
        <v>4</v>
      </c>
      <c r="D66" s="20">
        <f t="shared" ref="D66:D129" si="4">AVERAGEIF($B$2:$B$406,B66,$C$2:$C$406)</f>
        <v>3.9882352941176471</v>
      </c>
      <c r="E66" s="20">
        <f t="shared" ref="E66:E129" si="5">(C66-D66)^2</f>
        <v>1.3840830449826891E-4</v>
      </c>
      <c r="F66" s="20">
        <f t="shared" ref="F66:F129" si="6">ABS(C66-D66)</f>
        <v>1.1764705882352899E-2</v>
      </c>
      <c r="G66" s="21">
        <f t="shared" ref="G66:G129" si="7">_xlfn.RANK.AVG(C66,$C$2:$C$406,1)</f>
        <v>112.5</v>
      </c>
    </row>
    <row r="67" spans="1:7" x14ac:dyDescent="0.25">
      <c r="A67" s="4">
        <v>317</v>
      </c>
      <c r="B67" s="4">
        <v>4</v>
      </c>
      <c r="C67" s="4">
        <v>4</v>
      </c>
      <c r="D67" s="20">
        <f t="shared" si="4"/>
        <v>3.9882352941176471</v>
      </c>
      <c r="E67" s="20">
        <f t="shared" si="5"/>
        <v>1.3840830449826891E-4</v>
      </c>
      <c r="F67" s="20">
        <f t="shared" si="6"/>
        <v>1.1764705882352899E-2</v>
      </c>
      <c r="G67" s="21">
        <f t="shared" si="7"/>
        <v>112.5</v>
      </c>
    </row>
    <row r="68" spans="1:7" x14ac:dyDescent="0.25">
      <c r="A68" s="4">
        <v>319</v>
      </c>
      <c r="B68" s="4">
        <v>4</v>
      </c>
      <c r="C68" s="4">
        <v>4</v>
      </c>
      <c r="D68" s="20">
        <f t="shared" si="4"/>
        <v>3.9882352941176471</v>
      </c>
      <c r="E68" s="20">
        <f t="shared" si="5"/>
        <v>1.3840830449826891E-4</v>
      </c>
      <c r="F68" s="20">
        <f t="shared" si="6"/>
        <v>1.1764705882352899E-2</v>
      </c>
      <c r="G68" s="21">
        <f t="shared" si="7"/>
        <v>112.5</v>
      </c>
    </row>
    <row r="69" spans="1:7" x14ac:dyDescent="0.25">
      <c r="A69" s="4">
        <v>322</v>
      </c>
      <c r="B69" s="4">
        <v>4</v>
      </c>
      <c r="C69" s="4">
        <v>3</v>
      </c>
      <c r="D69" s="20">
        <f t="shared" si="4"/>
        <v>3.9882352941176471</v>
      </c>
      <c r="E69" s="20">
        <f t="shared" si="5"/>
        <v>0.9766089965397925</v>
      </c>
      <c r="F69" s="20">
        <f t="shared" si="6"/>
        <v>0.9882352941176471</v>
      </c>
      <c r="G69" s="21">
        <f t="shared" si="7"/>
        <v>19.5</v>
      </c>
    </row>
    <row r="70" spans="1:7" x14ac:dyDescent="0.25">
      <c r="A70" s="4">
        <v>335</v>
      </c>
      <c r="B70" s="4">
        <v>4</v>
      </c>
      <c r="C70" s="4">
        <v>4</v>
      </c>
      <c r="D70" s="20">
        <f t="shared" si="4"/>
        <v>3.9882352941176471</v>
      </c>
      <c r="E70" s="20">
        <f t="shared" si="5"/>
        <v>1.3840830449826891E-4</v>
      </c>
      <c r="F70" s="20">
        <f t="shared" si="6"/>
        <v>1.1764705882352899E-2</v>
      </c>
      <c r="G70" s="21">
        <f t="shared" si="7"/>
        <v>112.5</v>
      </c>
    </row>
    <row r="71" spans="1:7" x14ac:dyDescent="0.25">
      <c r="A71" s="4">
        <v>339</v>
      </c>
      <c r="B71" s="4">
        <v>4</v>
      </c>
      <c r="C71" s="4">
        <v>4</v>
      </c>
      <c r="D71" s="20">
        <f t="shared" si="4"/>
        <v>3.9882352941176471</v>
      </c>
      <c r="E71" s="20">
        <f t="shared" si="5"/>
        <v>1.3840830449826891E-4</v>
      </c>
      <c r="F71" s="20">
        <f t="shared" si="6"/>
        <v>1.1764705882352899E-2</v>
      </c>
      <c r="G71" s="21">
        <f t="shared" si="7"/>
        <v>112.5</v>
      </c>
    </row>
    <row r="72" spans="1:7" x14ac:dyDescent="0.25">
      <c r="A72" s="4">
        <v>340</v>
      </c>
      <c r="B72" s="4">
        <v>4</v>
      </c>
      <c r="C72" s="4">
        <v>4</v>
      </c>
      <c r="D72" s="20">
        <f t="shared" si="4"/>
        <v>3.9882352941176471</v>
      </c>
      <c r="E72" s="20">
        <f t="shared" si="5"/>
        <v>1.3840830449826891E-4</v>
      </c>
      <c r="F72" s="20">
        <f t="shared" si="6"/>
        <v>1.1764705882352899E-2</v>
      </c>
      <c r="G72" s="21">
        <f t="shared" si="7"/>
        <v>112.5</v>
      </c>
    </row>
    <row r="73" spans="1:7" x14ac:dyDescent="0.25">
      <c r="A73" s="4">
        <v>344</v>
      </c>
      <c r="B73" s="4">
        <v>4</v>
      </c>
      <c r="C73" s="4">
        <v>4</v>
      </c>
      <c r="D73" s="20">
        <f t="shared" si="4"/>
        <v>3.9882352941176471</v>
      </c>
      <c r="E73" s="20">
        <f t="shared" si="5"/>
        <v>1.3840830449826891E-4</v>
      </c>
      <c r="F73" s="20">
        <f t="shared" si="6"/>
        <v>1.1764705882352899E-2</v>
      </c>
      <c r="G73" s="21">
        <f t="shared" si="7"/>
        <v>112.5</v>
      </c>
    </row>
    <row r="74" spans="1:7" x14ac:dyDescent="0.25">
      <c r="A74" s="4">
        <v>345</v>
      </c>
      <c r="B74" s="4">
        <v>4</v>
      </c>
      <c r="C74" s="4">
        <v>4</v>
      </c>
      <c r="D74" s="20">
        <f t="shared" si="4"/>
        <v>3.9882352941176471</v>
      </c>
      <c r="E74" s="20">
        <f t="shared" si="5"/>
        <v>1.3840830449826891E-4</v>
      </c>
      <c r="F74" s="20">
        <f t="shared" si="6"/>
        <v>1.1764705882352899E-2</v>
      </c>
      <c r="G74" s="21">
        <f t="shared" si="7"/>
        <v>112.5</v>
      </c>
    </row>
    <row r="75" spans="1:7" x14ac:dyDescent="0.25">
      <c r="A75" s="4">
        <v>348</v>
      </c>
      <c r="B75" s="4">
        <v>4</v>
      </c>
      <c r="C75" s="4">
        <v>4</v>
      </c>
      <c r="D75" s="20">
        <f t="shared" si="4"/>
        <v>3.9882352941176471</v>
      </c>
      <c r="E75" s="20">
        <f t="shared" si="5"/>
        <v>1.3840830449826891E-4</v>
      </c>
      <c r="F75" s="20">
        <f t="shared" si="6"/>
        <v>1.1764705882352899E-2</v>
      </c>
      <c r="G75" s="21">
        <f t="shared" si="7"/>
        <v>112.5</v>
      </c>
    </row>
    <row r="76" spans="1:7" x14ac:dyDescent="0.25">
      <c r="A76" s="4">
        <v>349</v>
      </c>
      <c r="B76" s="4">
        <v>4</v>
      </c>
      <c r="C76" s="4">
        <v>4</v>
      </c>
      <c r="D76" s="20">
        <f t="shared" si="4"/>
        <v>3.9882352941176471</v>
      </c>
      <c r="E76" s="20">
        <f t="shared" si="5"/>
        <v>1.3840830449826891E-4</v>
      </c>
      <c r="F76" s="20">
        <f t="shared" si="6"/>
        <v>1.1764705882352899E-2</v>
      </c>
      <c r="G76" s="21">
        <f t="shared" si="7"/>
        <v>112.5</v>
      </c>
    </row>
    <row r="77" spans="1:7" x14ac:dyDescent="0.25">
      <c r="A77" s="4">
        <v>351</v>
      </c>
      <c r="B77" s="4">
        <v>4</v>
      </c>
      <c r="C77" s="4">
        <v>3</v>
      </c>
      <c r="D77" s="20">
        <f t="shared" si="4"/>
        <v>3.9882352941176471</v>
      </c>
      <c r="E77" s="20">
        <f t="shared" si="5"/>
        <v>0.9766089965397925</v>
      </c>
      <c r="F77" s="20">
        <f t="shared" si="6"/>
        <v>0.9882352941176471</v>
      </c>
      <c r="G77" s="21">
        <f t="shared" si="7"/>
        <v>19.5</v>
      </c>
    </row>
    <row r="78" spans="1:7" x14ac:dyDescent="0.25">
      <c r="A78" s="4">
        <v>376</v>
      </c>
      <c r="B78" s="4">
        <v>4</v>
      </c>
      <c r="C78" s="4">
        <v>4</v>
      </c>
      <c r="D78" s="20">
        <f t="shared" si="4"/>
        <v>3.9882352941176471</v>
      </c>
      <c r="E78" s="20">
        <f t="shared" si="5"/>
        <v>1.3840830449826891E-4</v>
      </c>
      <c r="F78" s="20">
        <f t="shared" si="6"/>
        <v>1.1764705882352899E-2</v>
      </c>
      <c r="G78" s="21">
        <f t="shared" si="7"/>
        <v>112.5</v>
      </c>
    </row>
    <row r="79" spans="1:7" x14ac:dyDescent="0.25">
      <c r="A79" s="4">
        <v>378</v>
      </c>
      <c r="B79" s="4">
        <v>4</v>
      </c>
      <c r="C79" s="4">
        <v>4</v>
      </c>
      <c r="D79" s="20">
        <f t="shared" si="4"/>
        <v>3.9882352941176471</v>
      </c>
      <c r="E79" s="20">
        <f t="shared" si="5"/>
        <v>1.3840830449826891E-4</v>
      </c>
      <c r="F79" s="20">
        <f t="shared" si="6"/>
        <v>1.1764705882352899E-2</v>
      </c>
      <c r="G79" s="21">
        <f t="shared" si="7"/>
        <v>112.5</v>
      </c>
    </row>
    <row r="80" spans="1:7" x14ac:dyDescent="0.25">
      <c r="A80" s="4">
        <v>380</v>
      </c>
      <c r="B80" s="4">
        <v>4</v>
      </c>
      <c r="C80" s="4">
        <v>6</v>
      </c>
      <c r="D80" s="20">
        <f t="shared" si="4"/>
        <v>3.9882352941176471</v>
      </c>
      <c r="E80" s="20">
        <f t="shared" si="5"/>
        <v>4.04719723183391</v>
      </c>
      <c r="F80" s="20">
        <f t="shared" si="6"/>
        <v>2.0117647058823529</v>
      </c>
      <c r="G80" s="21">
        <f t="shared" si="7"/>
        <v>328</v>
      </c>
    </row>
    <row r="81" spans="1:7" x14ac:dyDescent="0.25">
      <c r="A81" s="4">
        <v>382</v>
      </c>
      <c r="B81" s="4">
        <v>4</v>
      </c>
      <c r="C81" s="4">
        <v>4</v>
      </c>
      <c r="D81" s="20">
        <f t="shared" si="4"/>
        <v>3.9882352941176471</v>
      </c>
      <c r="E81" s="20">
        <f t="shared" si="5"/>
        <v>1.3840830449826891E-4</v>
      </c>
      <c r="F81" s="20">
        <f t="shared" si="6"/>
        <v>1.1764705882352899E-2</v>
      </c>
      <c r="G81" s="21">
        <f t="shared" si="7"/>
        <v>112.5</v>
      </c>
    </row>
    <row r="82" spans="1:7" x14ac:dyDescent="0.25">
      <c r="A82" s="4">
        <v>384</v>
      </c>
      <c r="B82" s="4">
        <v>4</v>
      </c>
      <c r="C82" s="4">
        <v>3</v>
      </c>
      <c r="D82" s="20">
        <f t="shared" si="4"/>
        <v>3.9882352941176471</v>
      </c>
      <c r="E82" s="20">
        <f t="shared" si="5"/>
        <v>0.9766089965397925</v>
      </c>
      <c r="F82" s="20">
        <f t="shared" si="6"/>
        <v>0.9882352941176471</v>
      </c>
      <c r="G82" s="21">
        <f t="shared" si="7"/>
        <v>19.5</v>
      </c>
    </row>
    <row r="83" spans="1:7" x14ac:dyDescent="0.25">
      <c r="A83" s="4">
        <v>391</v>
      </c>
      <c r="B83" s="4">
        <v>4</v>
      </c>
      <c r="C83" s="4">
        <v>4</v>
      </c>
      <c r="D83" s="20">
        <f t="shared" si="4"/>
        <v>3.9882352941176471</v>
      </c>
      <c r="E83" s="20">
        <f t="shared" si="5"/>
        <v>1.3840830449826891E-4</v>
      </c>
      <c r="F83" s="20">
        <f t="shared" si="6"/>
        <v>1.1764705882352899E-2</v>
      </c>
      <c r="G83" s="21">
        <f t="shared" si="7"/>
        <v>112.5</v>
      </c>
    </row>
    <row r="84" spans="1:7" x14ac:dyDescent="0.25">
      <c r="A84" s="4">
        <v>395</v>
      </c>
      <c r="B84" s="4">
        <v>4</v>
      </c>
      <c r="C84" s="4">
        <v>4</v>
      </c>
      <c r="D84" s="20">
        <f t="shared" si="4"/>
        <v>3.9882352941176471</v>
      </c>
      <c r="E84" s="20">
        <f t="shared" si="5"/>
        <v>1.3840830449826891E-4</v>
      </c>
      <c r="F84" s="20">
        <f t="shared" si="6"/>
        <v>1.1764705882352899E-2</v>
      </c>
      <c r="G84" s="21">
        <f t="shared" si="7"/>
        <v>112.5</v>
      </c>
    </row>
    <row r="85" spans="1:7" x14ac:dyDescent="0.25">
      <c r="A85" s="4">
        <v>398</v>
      </c>
      <c r="B85" s="4">
        <v>4</v>
      </c>
      <c r="C85" s="4">
        <v>5</v>
      </c>
      <c r="D85" s="20">
        <f t="shared" si="4"/>
        <v>3.9882352941176471</v>
      </c>
      <c r="E85" s="20">
        <f t="shared" si="5"/>
        <v>1.023667820069204</v>
      </c>
      <c r="F85" s="20">
        <f t="shared" si="6"/>
        <v>1.0117647058823529</v>
      </c>
      <c r="G85" s="21">
        <f t="shared" si="7"/>
        <v>234</v>
      </c>
    </row>
    <row r="86" spans="1:7" x14ac:dyDescent="0.25">
      <c r="A86" s="4">
        <v>405</v>
      </c>
      <c r="B86" s="4">
        <v>4</v>
      </c>
      <c r="C86" s="4">
        <v>4</v>
      </c>
      <c r="D86" s="20">
        <f t="shared" si="4"/>
        <v>3.9882352941176471</v>
      </c>
      <c r="E86" s="20">
        <f t="shared" si="5"/>
        <v>1.3840830449826891E-4</v>
      </c>
      <c r="F86" s="20">
        <f t="shared" si="6"/>
        <v>1.1764705882352899E-2</v>
      </c>
      <c r="G86" s="21">
        <f t="shared" si="7"/>
        <v>112.5</v>
      </c>
    </row>
    <row r="87" spans="1:7" x14ac:dyDescent="0.25">
      <c r="A87" s="4">
        <v>3</v>
      </c>
      <c r="B87" s="4">
        <v>5</v>
      </c>
      <c r="C87" s="4">
        <v>4</v>
      </c>
      <c r="D87" s="20">
        <f t="shared" si="4"/>
        <v>4.354838709677419</v>
      </c>
      <c r="E87" s="20">
        <f t="shared" si="5"/>
        <v>0.12591050988553568</v>
      </c>
      <c r="F87" s="20">
        <f t="shared" si="6"/>
        <v>0.35483870967741904</v>
      </c>
      <c r="G87" s="21">
        <f t="shared" si="7"/>
        <v>112.5</v>
      </c>
    </row>
    <row r="88" spans="1:7" x14ac:dyDescent="0.25">
      <c r="A88" s="4">
        <v>4</v>
      </c>
      <c r="B88" s="4">
        <v>5</v>
      </c>
      <c r="C88" s="4">
        <v>5</v>
      </c>
      <c r="D88" s="20">
        <f t="shared" si="4"/>
        <v>4.354838709677419</v>
      </c>
      <c r="E88" s="20">
        <f t="shared" si="5"/>
        <v>0.41623309053069762</v>
      </c>
      <c r="F88" s="20">
        <f t="shared" si="6"/>
        <v>0.64516129032258096</v>
      </c>
      <c r="G88" s="21">
        <f t="shared" si="7"/>
        <v>234</v>
      </c>
    </row>
    <row r="89" spans="1:7" x14ac:dyDescent="0.25">
      <c r="A89" s="4">
        <v>11</v>
      </c>
      <c r="B89" s="4">
        <v>5</v>
      </c>
      <c r="C89" s="4">
        <v>4</v>
      </c>
      <c r="D89" s="20">
        <f t="shared" si="4"/>
        <v>4.354838709677419</v>
      </c>
      <c r="E89" s="20">
        <f t="shared" si="5"/>
        <v>0.12591050988553568</v>
      </c>
      <c r="F89" s="20">
        <f t="shared" si="6"/>
        <v>0.35483870967741904</v>
      </c>
      <c r="G89" s="21">
        <f t="shared" si="7"/>
        <v>112.5</v>
      </c>
    </row>
    <row r="90" spans="1:7" x14ac:dyDescent="0.25">
      <c r="A90" s="4">
        <v>15</v>
      </c>
      <c r="B90" s="4">
        <v>5</v>
      </c>
      <c r="C90" s="4">
        <v>5</v>
      </c>
      <c r="D90" s="20">
        <f t="shared" si="4"/>
        <v>4.354838709677419</v>
      </c>
      <c r="E90" s="20">
        <f t="shared" si="5"/>
        <v>0.41623309053069762</v>
      </c>
      <c r="F90" s="20">
        <f t="shared" si="6"/>
        <v>0.64516129032258096</v>
      </c>
      <c r="G90" s="21">
        <f t="shared" si="7"/>
        <v>234</v>
      </c>
    </row>
    <row r="91" spans="1:7" x14ac:dyDescent="0.25">
      <c r="A91" s="4">
        <v>16</v>
      </c>
      <c r="B91" s="4">
        <v>5</v>
      </c>
      <c r="C91" s="4">
        <v>5</v>
      </c>
      <c r="D91" s="20">
        <f t="shared" si="4"/>
        <v>4.354838709677419</v>
      </c>
      <c r="E91" s="20">
        <f t="shared" si="5"/>
        <v>0.41623309053069762</v>
      </c>
      <c r="F91" s="20">
        <f t="shared" si="6"/>
        <v>0.64516129032258096</v>
      </c>
      <c r="G91" s="21">
        <f t="shared" si="7"/>
        <v>234</v>
      </c>
    </row>
    <row r="92" spans="1:7" x14ac:dyDescent="0.25">
      <c r="A92" s="4">
        <v>19</v>
      </c>
      <c r="B92" s="4">
        <v>5</v>
      </c>
      <c r="C92" s="4">
        <v>3</v>
      </c>
      <c r="D92" s="20">
        <f t="shared" si="4"/>
        <v>4.354838709677419</v>
      </c>
      <c r="E92" s="20">
        <f t="shared" si="5"/>
        <v>1.8355879292403738</v>
      </c>
      <c r="F92" s="20">
        <f t="shared" si="6"/>
        <v>1.354838709677419</v>
      </c>
      <c r="G92" s="21">
        <f t="shared" si="7"/>
        <v>19.5</v>
      </c>
    </row>
    <row r="93" spans="1:7" x14ac:dyDescent="0.25">
      <c r="A93" s="4">
        <v>23</v>
      </c>
      <c r="B93" s="4">
        <v>5</v>
      </c>
      <c r="C93" s="4">
        <v>5</v>
      </c>
      <c r="D93" s="20">
        <f t="shared" si="4"/>
        <v>4.354838709677419</v>
      </c>
      <c r="E93" s="20">
        <f t="shared" si="5"/>
        <v>0.41623309053069762</v>
      </c>
      <c r="F93" s="20">
        <f t="shared" si="6"/>
        <v>0.64516129032258096</v>
      </c>
      <c r="G93" s="21">
        <f t="shared" si="7"/>
        <v>234</v>
      </c>
    </row>
    <row r="94" spans="1:7" x14ac:dyDescent="0.25">
      <c r="A94" s="4">
        <v>25</v>
      </c>
      <c r="B94" s="4">
        <v>5</v>
      </c>
      <c r="C94" s="4">
        <v>4</v>
      </c>
      <c r="D94" s="20">
        <f t="shared" si="4"/>
        <v>4.354838709677419</v>
      </c>
      <c r="E94" s="20">
        <f t="shared" si="5"/>
        <v>0.12591050988553568</v>
      </c>
      <c r="F94" s="20">
        <f t="shared" si="6"/>
        <v>0.35483870967741904</v>
      </c>
      <c r="G94" s="21">
        <f t="shared" si="7"/>
        <v>112.5</v>
      </c>
    </row>
    <row r="95" spans="1:7" x14ac:dyDescent="0.25">
      <c r="A95" s="4">
        <v>30</v>
      </c>
      <c r="B95" s="4">
        <v>5</v>
      </c>
      <c r="C95" s="4">
        <v>5</v>
      </c>
      <c r="D95" s="20">
        <f t="shared" si="4"/>
        <v>4.354838709677419</v>
      </c>
      <c r="E95" s="20">
        <f t="shared" si="5"/>
        <v>0.41623309053069762</v>
      </c>
      <c r="F95" s="20">
        <f t="shared" si="6"/>
        <v>0.64516129032258096</v>
      </c>
      <c r="G95" s="21">
        <f t="shared" si="7"/>
        <v>234</v>
      </c>
    </row>
    <row r="96" spans="1:7" x14ac:dyDescent="0.25">
      <c r="A96" s="4">
        <v>45</v>
      </c>
      <c r="B96" s="4">
        <v>5</v>
      </c>
      <c r="C96" s="4">
        <v>4</v>
      </c>
      <c r="D96" s="20">
        <f t="shared" si="4"/>
        <v>4.354838709677419</v>
      </c>
      <c r="E96" s="20">
        <f t="shared" si="5"/>
        <v>0.12591050988553568</v>
      </c>
      <c r="F96" s="20">
        <f t="shared" si="6"/>
        <v>0.35483870967741904</v>
      </c>
      <c r="G96" s="21">
        <f t="shared" si="7"/>
        <v>112.5</v>
      </c>
    </row>
    <row r="97" spans="1:7" x14ac:dyDescent="0.25">
      <c r="A97" s="4">
        <v>46</v>
      </c>
      <c r="B97" s="4">
        <v>5</v>
      </c>
      <c r="C97" s="4">
        <v>5</v>
      </c>
      <c r="D97" s="20">
        <f t="shared" si="4"/>
        <v>4.354838709677419</v>
      </c>
      <c r="E97" s="20">
        <f t="shared" si="5"/>
        <v>0.41623309053069762</v>
      </c>
      <c r="F97" s="20">
        <f t="shared" si="6"/>
        <v>0.64516129032258096</v>
      </c>
      <c r="G97" s="21">
        <f t="shared" si="7"/>
        <v>234</v>
      </c>
    </row>
    <row r="98" spans="1:7" x14ac:dyDescent="0.25">
      <c r="A98" s="4">
        <v>47</v>
      </c>
      <c r="B98" s="4">
        <v>5</v>
      </c>
      <c r="C98" s="4">
        <v>3</v>
      </c>
      <c r="D98" s="20">
        <f t="shared" si="4"/>
        <v>4.354838709677419</v>
      </c>
      <c r="E98" s="20">
        <f t="shared" si="5"/>
        <v>1.8355879292403738</v>
      </c>
      <c r="F98" s="20">
        <f t="shared" si="6"/>
        <v>1.354838709677419</v>
      </c>
      <c r="G98" s="21">
        <f t="shared" si="7"/>
        <v>19.5</v>
      </c>
    </row>
    <row r="99" spans="1:7" x14ac:dyDescent="0.25">
      <c r="A99" s="4">
        <v>51</v>
      </c>
      <c r="B99" s="4">
        <v>5</v>
      </c>
      <c r="C99" s="4">
        <v>4</v>
      </c>
      <c r="D99" s="20">
        <f t="shared" si="4"/>
        <v>4.354838709677419</v>
      </c>
      <c r="E99" s="20">
        <f t="shared" si="5"/>
        <v>0.12591050988553568</v>
      </c>
      <c r="F99" s="20">
        <f t="shared" si="6"/>
        <v>0.35483870967741904</v>
      </c>
      <c r="G99" s="21">
        <f t="shared" si="7"/>
        <v>112.5</v>
      </c>
    </row>
    <row r="100" spans="1:7" x14ac:dyDescent="0.25">
      <c r="A100" s="4">
        <v>57</v>
      </c>
      <c r="B100" s="4">
        <v>5</v>
      </c>
      <c r="C100" s="4">
        <v>5</v>
      </c>
      <c r="D100" s="20">
        <f t="shared" si="4"/>
        <v>4.354838709677419</v>
      </c>
      <c r="E100" s="20">
        <f t="shared" si="5"/>
        <v>0.41623309053069762</v>
      </c>
      <c r="F100" s="20">
        <f t="shared" si="6"/>
        <v>0.64516129032258096</v>
      </c>
      <c r="G100" s="21">
        <f t="shared" si="7"/>
        <v>234</v>
      </c>
    </row>
    <row r="101" spans="1:7" x14ac:dyDescent="0.25">
      <c r="A101" s="4">
        <v>66</v>
      </c>
      <c r="B101" s="4">
        <v>5</v>
      </c>
      <c r="C101" s="4">
        <v>6</v>
      </c>
      <c r="D101" s="20">
        <f t="shared" si="4"/>
        <v>4.354838709677419</v>
      </c>
      <c r="E101" s="20">
        <f t="shared" si="5"/>
        <v>2.7065556711758596</v>
      </c>
      <c r="F101" s="20">
        <f t="shared" si="6"/>
        <v>1.645161290322581</v>
      </c>
      <c r="G101" s="21">
        <f t="shared" si="7"/>
        <v>328</v>
      </c>
    </row>
    <row r="102" spans="1:7" x14ac:dyDescent="0.25">
      <c r="A102" s="4">
        <v>67</v>
      </c>
      <c r="B102" s="4">
        <v>5</v>
      </c>
      <c r="C102" s="4">
        <v>5</v>
      </c>
      <c r="D102" s="20">
        <f t="shared" si="4"/>
        <v>4.354838709677419</v>
      </c>
      <c r="E102" s="20">
        <f t="shared" si="5"/>
        <v>0.41623309053069762</v>
      </c>
      <c r="F102" s="20">
        <f t="shared" si="6"/>
        <v>0.64516129032258096</v>
      </c>
      <c r="G102" s="21">
        <f t="shared" si="7"/>
        <v>234</v>
      </c>
    </row>
    <row r="103" spans="1:7" x14ac:dyDescent="0.25">
      <c r="A103" s="4">
        <v>74</v>
      </c>
      <c r="B103" s="4">
        <v>5</v>
      </c>
      <c r="C103" s="4">
        <v>4</v>
      </c>
      <c r="D103" s="20">
        <f t="shared" si="4"/>
        <v>4.354838709677419</v>
      </c>
      <c r="E103" s="20">
        <f t="shared" si="5"/>
        <v>0.12591050988553568</v>
      </c>
      <c r="F103" s="20">
        <f t="shared" si="6"/>
        <v>0.35483870967741904</v>
      </c>
      <c r="G103" s="21">
        <f t="shared" si="7"/>
        <v>112.5</v>
      </c>
    </row>
    <row r="104" spans="1:7" x14ac:dyDescent="0.25">
      <c r="A104" s="4">
        <v>78</v>
      </c>
      <c r="B104" s="4">
        <v>5</v>
      </c>
      <c r="C104" s="4">
        <v>5</v>
      </c>
      <c r="D104" s="20">
        <f t="shared" si="4"/>
        <v>4.354838709677419</v>
      </c>
      <c r="E104" s="20">
        <f t="shared" si="5"/>
        <v>0.41623309053069762</v>
      </c>
      <c r="F104" s="20">
        <f t="shared" si="6"/>
        <v>0.64516129032258096</v>
      </c>
      <c r="G104" s="21">
        <f t="shared" si="7"/>
        <v>234</v>
      </c>
    </row>
    <row r="105" spans="1:7" x14ac:dyDescent="0.25">
      <c r="A105" s="4">
        <v>79</v>
      </c>
      <c r="B105" s="4">
        <v>5</v>
      </c>
      <c r="C105" s="4">
        <v>5</v>
      </c>
      <c r="D105" s="20">
        <f t="shared" si="4"/>
        <v>4.354838709677419</v>
      </c>
      <c r="E105" s="20">
        <f t="shared" si="5"/>
        <v>0.41623309053069762</v>
      </c>
      <c r="F105" s="20">
        <f t="shared" si="6"/>
        <v>0.64516129032258096</v>
      </c>
      <c r="G105" s="21">
        <f t="shared" si="7"/>
        <v>234</v>
      </c>
    </row>
    <row r="106" spans="1:7" x14ac:dyDescent="0.25">
      <c r="A106" s="4">
        <v>82</v>
      </c>
      <c r="B106" s="4">
        <v>5</v>
      </c>
      <c r="C106" s="4">
        <v>3</v>
      </c>
      <c r="D106" s="20">
        <f t="shared" si="4"/>
        <v>4.354838709677419</v>
      </c>
      <c r="E106" s="20">
        <f t="shared" si="5"/>
        <v>1.8355879292403738</v>
      </c>
      <c r="F106" s="20">
        <f t="shared" si="6"/>
        <v>1.354838709677419</v>
      </c>
      <c r="G106" s="21">
        <f t="shared" si="7"/>
        <v>19.5</v>
      </c>
    </row>
    <row r="107" spans="1:7" x14ac:dyDescent="0.25">
      <c r="A107" s="4">
        <v>86</v>
      </c>
      <c r="B107" s="4">
        <v>5</v>
      </c>
      <c r="C107" s="4">
        <v>5</v>
      </c>
      <c r="D107" s="20">
        <f t="shared" si="4"/>
        <v>4.354838709677419</v>
      </c>
      <c r="E107" s="20">
        <f t="shared" si="5"/>
        <v>0.41623309053069762</v>
      </c>
      <c r="F107" s="20">
        <f t="shared" si="6"/>
        <v>0.64516129032258096</v>
      </c>
      <c r="G107" s="21">
        <f t="shared" si="7"/>
        <v>234</v>
      </c>
    </row>
    <row r="108" spans="1:7" x14ac:dyDescent="0.25">
      <c r="A108" s="4">
        <v>88</v>
      </c>
      <c r="B108" s="4">
        <v>5</v>
      </c>
      <c r="C108" s="4">
        <v>4</v>
      </c>
      <c r="D108" s="20">
        <f t="shared" si="4"/>
        <v>4.354838709677419</v>
      </c>
      <c r="E108" s="20">
        <f t="shared" si="5"/>
        <v>0.12591050988553568</v>
      </c>
      <c r="F108" s="20">
        <f t="shared" si="6"/>
        <v>0.35483870967741904</v>
      </c>
      <c r="G108" s="21">
        <f t="shared" si="7"/>
        <v>112.5</v>
      </c>
    </row>
    <row r="109" spans="1:7" x14ac:dyDescent="0.25">
      <c r="A109" s="4">
        <v>93</v>
      </c>
      <c r="B109" s="4">
        <v>5</v>
      </c>
      <c r="C109" s="4">
        <v>5</v>
      </c>
      <c r="D109" s="20">
        <f t="shared" si="4"/>
        <v>4.354838709677419</v>
      </c>
      <c r="E109" s="20">
        <f t="shared" si="5"/>
        <v>0.41623309053069762</v>
      </c>
      <c r="F109" s="20">
        <f t="shared" si="6"/>
        <v>0.64516129032258096</v>
      </c>
      <c r="G109" s="21">
        <f t="shared" si="7"/>
        <v>234</v>
      </c>
    </row>
    <row r="110" spans="1:7" x14ac:dyDescent="0.25">
      <c r="A110" s="4">
        <v>108</v>
      </c>
      <c r="B110" s="4">
        <v>5</v>
      </c>
      <c r="C110" s="4">
        <v>4</v>
      </c>
      <c r="D110" s="20">
        <f t="shared" si="4"/>
        <v>4.354838709677419</v>
      </c>
      <c r="E110" s="20">
        <f t="shared" si="5"/>
        <v>0.12591050988553568</v>
      </c>
      <c r="F110" s="20">
        <f t="shared" si="6"/>
        <v>0.35483870967741904</v>
      </c>
      <c r="G110" s="21">
        <f t="shared" si="7"/>
        <v>112.5</v>
      </c>
    </row>
    <row r="111" spans="1:7" x14ac:dyDescent="0.25">
      <c r="A111" s="4">
        <v>109</v>
      </c>
      <c r="B111" s="4">
        <v>5</v>
      </c>
      <c r="C111" s="4">
        <v>5</v>
      </c>
      <c r="D111" s="20">
        <f t="shared" si="4"/>
        <v>4.354838709677419</v>
      </c>
      <c r="E111" s="20">
        <f t="shared" si="5"/>
        <v>0.41623309053069762</v>
      </c>
      <c r="F111" s="20">
        <f t="shared" si="6"/>
        <v>0.64516129032258096</v>
      </c>
      <c r="G111" s="21">
        <f t="shared" si="7"/>
        <v>234</v>
      </c>
    </row>
    <row r="112" spans="1:7" x14ac:dyDescent="0.25">
      <c r="A112" s="4">
        <v>110</v>
      </c>
      <c r="B112" s="4">
        <v>5</v>
      </c>
      <c r="C112" s="4">
        <v>3</v>
      </c>
      <c r="D112" s="20">
        <f t="shared" si="4"/>
        <v>4.354838709677419</v>
      </c>
      <c r="E112" s="20">
        <f t="shared" si="5"/>
        <v>1.8355879292403738</v>
      </c>
      <c r="F112" s="20">
        <f t="shared" si="6"/>
        <v>1.354838709677419</v>
      </c>
      <c r="G112" s="21">
        <f t="shared" si="7"/>
        <v>19.5</v>
      </c>
    </row>
    <row r="113" spans="1:7" x14ac:dyDescent="0.25">
      <c r="A113" s="4">
        <v>114</v>
      </c>
      <c r="B113" s="4">
        <v>5</v>
      </c>
      <c r="C113" s="4">
        <v>4</v>
      </c>
      <c r="D113" s="20">
        <f t="shared" si="4"/>
        <v>4.354838709677419</v>
      </c>
      <c r="E113" s="20">
        <f t="shared" si="5"/>
        <v>0.12591050988553568</v>
      </c>
      <c r="F113" s="20">
        <f t="shared" si="6"/>
        <v>0.35483870967741904</v>
      </c>
      <c r="G113" s="21">
        <f t="shared" si="7"/>
        <v>112.5</v>
      </c>
    </row>
    <row r="114" spans="1:7" x14ac:dyDescent="0.25">
      <c r="A114" s="4">
        <v>120</v>
      </c>
      <c r="B114" s="4">
        <v>5</v>
      </c>
      <c r="C114" s="4">
        <v>5</v>
      </c>
      <c r="D114" s="20">
        <f t="shared" si="4"/>
        <v>4.354838709677419</v>
      </c>
      <c r="E114" s="20">
        <f t="shared" si="5"/>
        <v>0.41623309053069762</v>
      </c>
      <c r="F114" s="20">
        <f t="shared" si="6"/>
        <v>0.64516129032258096</v>
      </c>
      <c r="G114" s="21">
        <f t="shared" si="7"/>
        <v>234</v>
      </c>
    </row>
    <row r="115" spans="1:7" x14ac:dyDescent="0.25">
      <c r="A115" s="4">
        <v>129</v>
      </c>
      <c r="B115" s="4">
        <v>5</v>
      </c>
      <c r="C115" s="4">
        <v>4</v>
      </c>
      <c r="D115" s="20">
        <f t="shared" si="4"/>
        <v>4.354838709677419</v>
      </c>
      <c r="E115" s="20">
        <f t="shared" si="5"/>
        <v>0.12591050988553568</v>
      </c>
      <c r="F115" s="20">
        <f t="shared" si="6"/>
        <v>0.35483870967741904</v>
      </c>
      <c r="G115" s="21">
        <f t="shared" si="7"/>
        <v>112.5</v>
      </c>
    </row>
    <row r="116" spans="1:7" x14ac:dyDescent="0.25">
      <c r="A116" s="4">
        <v>130</v>
      </c>
      <c r="B116" s="4">
        <v>5</v>
      </c>
      <c r="C116" s="4">
        <v>5</v>
      </c>
      <c r="D116" s="20">
        <f t="shared" si="4"/>
        <v>4.354838709677419</v>
      </c>
      <c r="E116" s="20">
        <f t="shared" si="5"/>
        <v>0.41623309053069762</v>
      </c>
      <c r="F116" s="20">
        <f t="shared" si="6"/>
        <v>0.64516129032258096</v>
      </c>
      <c r="G116" s="21">
        <f t="shared" si="7"/>
        <v>234</v>
      </c>
    </row>
    <row r="117" spans="1:7" x14ac:dyDescent="0.25">
      <c r="A117" s="4">
        <v>137</v>
      </c>
      <c r="B117" s="4">
        <v>5</v>
      </c>
      <c r="C117" s="4">
        <v>4</v>
      </c>
      <c r="D117" s="20">
        <f t="shared" si="4"/>
        <v>4.354838709677419</v>
      </c>
      <c r="E117" s="20">
        <f t="shared" si="5"/>
        <v>0.12591050988553568</v>
      </c>
      <c r="F117" s="20">
        <f t="shared" si="6"/>
        <v>0.35483870967741904</v>
      </c>
      <c r="G117" s="21">
        <f t="shared" si="7"/>
        <v>112.5</v>
      </c>
    </row>
    <row r="118" spans="1:7" x14ac:dyDescent="0.25">
      <c r="A118" s="4">
        <v>141</v>
      </c>
      <c r="B118" s="4">
        <v>5</v>
      </c>
      <c r="C118" s="4">
        <v>5</v>
      </c>
      <c r="D118" s="20">
        <f t="shared" si="4"/>
        <v>4.354838709677419</v>
      </c>
      <c r="E118" s="20">
        <f t="shared" si="5"/>
        <v>0.41623309053069762</v>
      </c>
      <c r="F118" s="20">
        <f t="shared" si="6"/>
        <v>0.64516129032258096</v>
      </c>
      <c r="G118" s="21">
        <f t="shared" si="7"/>
        <v>234</v>
      </c>
    </row>
    <row r="119" spans="1:7" x14ac:dyDescent="0.25">
      <c r="A119" s="4">
        <v>142</v>
      </c>
      <c r="B119" s="4">
        <v>5</v>
      </c>
      <c r="C119" s="4">
        <v>5</v>
      </c>
      <c r="D119" s="20">
        <f t="shared" si="4"/>
        <v>4.354838709677419</v>
      </c>
      <c r="E119" s="20">
        <f t="shared" si="5"/>
        <v>0.41623309053069762</v>
      </c>
      <c r="F119" s="20">
        <f t="shared" si="6"/>
        <v>0.64516129032258096</v>
      </c>
      <c r="G119" s="21">
        <f t="shared" si="7"/>
        <v>234</v>
      </c>
    </row>
    <row r="120" spans="1:7" x14ac:dyDescent="0.25">
      <c r="A120" s="4">
        <v>145</v>
      </c>
      <c r="B120" s="4">
        <v>5</v>
      </c>
      <c r="C120" s="4">
        <v>3</v>
      </c>
      <c r="D120" s="20">
        <f t="shared" si="4"/>
        <v>4.354838709677419</v>
      </c>
      <c r="E120" s="20">
        <f t="shared" si="5"/>
        <v>1.8355879292403738</v>
      </c>
      <c r="F120" s="20">
        <f t="shared" si="6"/>
        <v>1.354838709677419</v>
      </c>
      <c r="G120" s="21">
        <f t="shared" si="7"/>
        <v>19.5</v>
      </c>
    </row>
    <row r="121" spans="1:7" x14ac:dyDescent="0.25">
      <c r="A121" s="4">
        <v>149</v>
      </c>
      <c r="B121" s="4">
        <v>5</v>
      </c>
      <c r="C121" s="4">
        <v>5</v>
      </c>
      <c r="D121" s="20">
        <f t="shared" si="4"/>
        <v>4.354838709677419</v>
      </c>
      <c r="E121" s="20">
        <f t="shared" si="5"/>
        <v>0.41623309053069762</v>
      </c>
      <c r="F121" s="20">
        <f t="shared" si="6"/>
        <v>0.64516129032258096</v>
      </c>
      <c r="G121" s="21">
        <f t="shared" si="7"/>
        <v>234</v>
      </c>
    </row>
    <row r="122" spans="1:7" x14ac:dyDescent="0.25">
      <c r="A122" s="4">
        <v>151</v>
      </c>
      <c r="B122" s="4">
        <v>5</v>
      </c>
      <c r="C122" s="4">
        <v>4</v>
      </c>
      <c r="D122" s="20">
        <f t="shared" si="4"/>
        <v>4.354838709677419</v>
      </c>
      <c r="E122" s="20">
        <f t="shared" si="5"/>
        <v>0.12591050988553568</v>
      </c>
      <c r="F122" s="20">
        <f t="shared" si="6"/>
        <v>0.35483870967741904</v>
      </c>
      <c r="G122" s="21">
        <f t="shared" si="7"/>
        <v>112.5</v>
      </c>
    </row>
    <row r="123" spans="1:7" x14ac:dyDescent="0.25">
      <c r="A123" s="4">
        <v>156</v>
      </c>
      <c r="B123" s="4">
        <v>5</v>
      </c>
      <c r="C123" s="4">
        <v>5</v>
      </c>
      <c r="D123" s="20">
        <f t="shared" si="4"/>
        <v>4.354838709677419</v>
      </c>
      <c r="E123" s="20">
        <f t="shared" si="5"/>
        <v>0.41623309053069762</v>
      </c>
      <c r="F123" s="20">
        <f t="shared" si="6"/>
        <v>0.64516129032258096</v>
      </c>
      <c r="G123" s="21">
        <f t="shared" si="7"/>
        <v>234</v>
      </c>
    </row>
    <row r="124" spans="1:7" x14ac:dyDescent="0.25">
      <c r="A124" s="4">
        <v>171</v>
      </c>
      <c r="B124" s="4">
        <v>5</v>
      </c>
      <c r="C124" s="4">
        <v>4</v>
      </c>
      <c r="D124" s="20">
        <f t="shared" si="4"/>
        <v>4.354838709677419</v>
      </c>
      <c r="E124" s="20">
        <f t="shared" si="5"/>
        <v>0.12591050988553568</v>
      </c>
      <c r="F124" s="20">
        <f t="shared" si="6"/>
        <v>0.35483870967741904</v>
      </c>
      <c r="G124" s="21">
        <f t="shared" si="7"/>
        <v>112.5</v>
      </c>
    </row>
    <row r="125" spans="1:7" x14ac:dyDescent="0.25">
      <c r="A125" s="4">
        <v>172</v>
      </c>
      <c r="B125" s="4">
        <v>5</v>
      </c>
      <c r="C125" s="4">
        <v>5</v>
      </c>
      <c r="D125" s="20">
        <f t="shared" si="4"/>
        <v>4.354838709677419</v>
      </c>
      <c r="E125" s="20">
        <f t="shared" si="5"/>
        <v>0.41623309053069762</v>
      </c>
      <c r="F125" s="20">
        <f t="shared" si="6"/>
        <v>0.64516129032258096</v>
      </c>
      <c r="G125" s="21">
        <f t="shared" si="7"/>
        <v>234</v>
      </c>
    </row>
    <row r="126" spans="1:7" x14ac:dyDescent="0.25">
      <c r="A126" s="4">
        <v>173</v>
      </c>
      <c r="B126" s="4">
        <v>5</v>
      </c>
      <c r="C126" s="4">
        <v>3</v>
      </c>
      <c r="D126" s="20">
        <f t="shared" si="4"/>
        <v>4.354838709677419</v>
      </c>
      <c r="E126" s="20">
        <f t="shared" si="5"/>
        <v>1.8355879292403738</v>
      </c>
      <c r="F126" s="20">
        <f t="shared" si="6"/>
        <v>1.354838709677419</v>
      </c>
      <c r="G126" s="21">
        <f t="shared" si="7"/>
        <v>19.5</v>
      </c>
    </row>
    <row r="127" spans="1:7" x14ac:dyDescent="0.25">
      <c r="A127" s="4">
        <v>177</v>
      </c>
      <c r="B127" s="4">
        <v>5</v>
      </c>
      <c r="C127" s="4">
        <v>4</v>
      </c>
      <c r="D127" s="20">
        <f t="shared" si="4"/>
        <v>4.354838709677419</v>
      </c>
      <c r="E127" s="20">
        <f t="shared" si="5"/>
        <v>0.12591050988553568</v>
      </c>
      <c r="F127" s="20">
        <f t="shared" si="6"/>
        <v>0.35483870967741904</v>
      </c>
      <c r="G127" s="21">
        <f t="shared" si="7"/>
        <v>112.5</v>
      </c>
    </row>
    <row r="128" spans="1:7" x14ac:dyDescent="0.25">
      <c r="A128" s="4">
        <v>183</v>
      </c>
      <c r="B128" s="4">
        <v>5</v>
      </c>
      <c r="C128" s="4">
        <v>5</v>
      </c>
      <c r="D128" s="20">
        <f t="shared" si="4"/>
        <v>4.354838709677419</v>
      </c>
      <c r="E128" s="20">
        <f t="shared" si="5"/>
        <v>0.41623309053069762</v>
      </c>
      <c r="F128" s="20">
        <f t="shared" si="6"/>
        <v>0.64516129032258096</v>
      </c>
      <c r="G128" s="21">
        <f t="shared" si="7"/>
        <v>234</v>
      </c>
    </row>
    <row r="129" spans="1:7" x14ac:dyDescent="0.25">
      <c r="A129" s="4">
        <v>194</v>
      </c>
      <c r="B129" s="4">
        <v>5</v>
      </c>
      <c r="C129" s="4">
        <v>5</v>
      </c>
      <c r="D129" s="20">
        <f t="shared" si="4"/>
        <v>4.354838709677419</v>
      </c>
      <c r="E129" s="20">
        <f t="shared" si="5"/>
        <v>0.41623309053069762</v>
      </c>
      <c r="F129" s="20">
        <f t="shared" si="6"/>
        <v>0.64516129032258096</v>
      </c>
      <c r="G129" s="21">
        <f t="shared" si="7"/>
        <v>234</v>
      </c>
    </row>
    <row r="130" spans="1:7" x14ac:dyDescent="0.25">
      <c r="A130" s="4">
        <v>196</v>
      </c>
      <c r="B130" s="4">
        <v>5</v>
      </c>
      <c r="C130" s="4">
        <v>4</v>
      </c>
      <c r="D130" s="20">
        <f t="shared" ref="D130:D193" si="8">AVERAGEIF($B$2:$B$406,B130,$C$2:$C$406)</f>
        <v>4.354838709677419</v>
      </c>
      <c r="E130" s="20">
        <f t="shared" ref="E130:E193" si="9">(C130-D130)^2</f>
        <v>0.12591050988553568</v>
      </c>
      <c r="F130" s="20">
        <f t="shared" ref="F130:F193" si="10">ABS(C130-D130)</f>
        <v>0.35483870967741904</v>
      </c>
      <c r="G130" s="21">
        <f t="shared" ref="G130:G193" si="11">_xlfn.RANK.AVG(C130,$C$2:$C$406,1)</f>
        <v>112.5</v>
      </c>
    </row>
    <row r="131" spans="1:7" x14ac:dyDescent="0.25">
      <c r="A131" s="4">
        <v>199</v>
      </c>
      <c r="B131" s="4">
        <v>5</v>
      </c>
      <c r="C131" s="4">
        <v>3</v>
      </c>
      <c r="D131" s="20">
        <f t="shared" si="8"/>
        <v>4.354838709677419</v>
      </c>
      <c r="E131" s="20">
        <f t="shared" si="9"/>
        <v>1.8355879292403738</v>
      </c>
      <c r="F131" s="20">
        <f t="shared" si="10"/>
        <v>1.354838709677419</v>
      </c>
      <c r="G131" s="21">
        <f t="shared" si="11"/>
        <v>19.5</v>
      </c>
    </row>
    <row r="132" spans="1:7" x14ac:dyDescent="0.25">
      <c r="A132" s="4">
        <v>200</v>
      </c>
      <c r="B132" s="4">
        <v>5</v>
      </c>
      <c r="C132" s="4">
        <v>3</v>
      </c>
      <c r="D132" s="20">
        <f t="shared" si="8"/>
        <v>4.354838709677419</v>
      </c>
      <c r="E132" s="20">
        <f t="shared" si="9"/>
        <v>1.8355879292403738</v>
      </c>
      <c r="F132" s="20">
        <f t="shared" si="10"/>
        <v>1.354838709677419</v>
      </c>
      <c r="G132" s="21">
        <f t="shared" si="11"/>
        <v>19.5</v>
      </c>
    </row>
    <row r="133" spans="1:7" x14ac:dyDescent="0.25">
      <c r="A133" s="4">
        <v>203</v>
      </c>
      <c r="B133" s="4">
        <v>5</v>
      </c>
      <c r="C133" s="4">
        <v>4</v>
      </c>
      <c r="D133" s="20">
        <f t="shared" si="8"/>
        <v>4.354838709677419</v>
      </c>
      <c r="E133" s="20">
        <f t="shared" si="9"/>
        <v>0.12591050988553568</v>
      </c>
      <c r="F133" s="20">
        <f t="shared" si="10"/>
        <v>0.35483870967741904</v>
      </c>
      <c r="G133" s="21">
        <f t="shared" si="11"/>
        <v>112.5</v>
      </c>
    </row>
    <row r="134" spans="1:7" x14ac:dyDescent="0.25">
      <c r="A134" s="4">
        <v>204</v>
      </c>
      <c r="B134" s="4">
        <v>5</v>
      </c>
      <c r="C134" s="4">
        <v>5</v>
      </c>
      <c r="D134" s="20">
        <f t="shared" si="8"/>
        <v>4.354838709677419</v>
      </c>
      <c r="E134" s="20">
        <f t="shared" si="9"/>
        <v>0.41623309053069762</v>
      </c>
      <c r="F134" s="20">
        <f t="shared" si="10"/>
        <v>0.64516129032258096</v>
      </c>
      <c r="G134" s="21">
        <f t="shared" si="11"/>
        <v>234</v>
      </c>
    </row>
    <row r="135" spans="1:7" x14ac:dyDescent="0.25">
      <c r="A135" s="4">
        <v>211</v>
      </c>
      <c r="B135" s="4">
        <v>5</v>
      </c>
      <c r="C135" s="4">
        <v>4</v>
      </c>
      <c r="D135" s="20">
        <f t="shared" si="8"/>
        <v>4.354838709677419</v>
      </c>
      <c r="E135" s="20">
        <f t="shared" si="9"/>
        <v>0.12591050988553568</v>
      </c>
      <c r="F135" s="20">
        <f t="shared" si="10"/>
        <v>0.35483870967741904</v>
      </c>
      <c r="G135" s="21">
        <f t="shared" si="11"/>
        <v>112.5</v>
      </c>
    </row>
    <row r="136" spans="1:7" x14ac:dyDescent="0.25">
      <c r="A136" s="4">
        <v>215</v>
      </c>
      <c r="B136" s="4">
        <v>5</v>
      </c>
      <c r="C136" s="4">
        <v>5</v>
      </c>
      <c r="D136" s="20">
        <f t="shared" si="8"/>
        <v>4.354838709677419</v>
      </c>
      <c r="E136" s="20">
        <f t="shared" si="9"/>
        <v>0.41623309053069762</v>
      </c>
      <c r="F136" s="20">
        <f t="shared" si="10"/>
        <v>0.64516129032258096</v>
      </c>
      <c r="G136" s="21">
        <f t="shared" si="11"/>
        <v>234</v>
      </c>
    </row>
    <row r="137" spans="1:7" x14ac:dyDescent="0.25">
      <c r="A137" s="4">
        <v>216</v>
      </c>
      <c r="B137" s="4">
        <v>5</v>
      </c>
      <c r="C137" s="4">
        <v>5</v>
      </c>
      <c r="D137" s="20">
        <f t="shared" si="8"/>
        <v>4.354838709677419</v>
      </c>
      <c r="E137" s="20">
        <f t="shared" si="9"/>
        <v>0.41623309053069762</v>
      </c>
      <c r="F137" s="20">
        <f t="shared" si="10"/>
        <v>0.64516129032258096</v>
      </c>
      <c r="G137" s="21">
        <f t="shared" si="11"/>
        <v>234</v>
      </c>
    </row>
    <row r="138" spans="1:7" x14ac:dyDescent="0.25">
      <c r="A138" s="4">
        <v>219</v>
      </c>
      <c r="B138" s="4">
        <v>5</v>
      </c>
      <c r="C138" s="4">
        <v>3</v>
      </c>
      <c r="D138" s="20">
        <f t="shared" si="8"/>
        <v>4.354838709677419</v>
      </c>
      <c r="E138" s="20">
        <f t="shared" si="9"/>
        <v>1.8355879292403738</v>
      </c>
      <c r="F138" s="20">
        <f t="shared" si="10"/>
        <v>1.354838709677419</v>
      </c>
      <c r="G138" s="21">
        <f t="shared" si="11"/>
        <v>19.5</v>
      </c>
    </row>
    <row r="139" spans="1:7" x14ac:dyDescent="0.25">
      <c r="A139" s="4">
        <v>223</v>
      </c>
      <c r="B139" s="4">
        <v>5</v>
      </c>
      <c r="C139" s="4">
        <v>5</v>
      </c>
      <c r="D139" s="20">
        <f t="shared" si="8"/>
        <v>4.354838709677419</v>
      </c>
      <c r="E139" s="20">
        <f t="shared" si="9"/>
        <v>0.41623309053069762</v>
      </c>
      <c r="F139" s="20">
        <f t="shared" si="10"/>
        <v>0.64516129032258096</v>
      </c>
      <c r="G139" s="21">
        <f t="shared" si="11"/>
        <v>234</v>
      </c>
    </row>
    <row r="140" spans="1:7" x14ac:dyDescent="0.25">
      <c r="A140" s="4">
        <v>225</v>
      </c>
      <c r="B140" s="4">
        <v>5</v>
      </c>
      <c r="C140" s="4">
        <v>4</v>
      </c>
      <c r="D140" s="20">
        <f t="shared" si="8"/>
        <v>4.354838709677419</v>
      </c>
      <c r="E140" s="20">
        <f t="shared" si="9"/>
        <v>0.12591050988553568</v>
      </c>
      <c r="F140" s="20">
        <f t="shared" si="10"/>
        <v>0.35483870967741904</v>
      </c>
      <c r="G140" s="21">
        <f t="shared" si="11"/>
        <v>112.5</v>
      </c>
    </row>
    <row r="141" spans="1:7" x14ac:dyDescent="0.25">
      <c r="A141" s="4">
        <v>230</v>
      </c>
      <c r="B141" s="4">
        <v>5</v>
      </c>
      <c r="C141" s="4">
        <v>5</v>
      </c>
      <c r="D141" s="20">
        <f t="shared" si="8"/>
        <v>4.354838709677419</v>
      </c>
      <c r="E141" s="20">
        <f t="shared" si="9"/>
        <v>0.41623309053069762</v>
      </c>
      <c r="F141" s="20">
        <f t="shared" si="10"/>
        <v>0.64516129032258096</v>
      </c>
      <c r="G141" s="21">
        <f t="shared" si="11"/>
        <v>234</v>
      </c>
    </row>
    <row r="142" spans="1:7" x14ac:dyDescent="0.25">
      <c r="A142" s="4">
        <v>245</v>
      </c>
      <c r="B142" s="4">
        <v>5</v>
      </c>
      <c r="C142" s="4">
        <v>4</v>
      </c>
      <c r="D142" s="20">
        <f t="shared" si="8"/>
        <v>4.354838709677419</v>
      </c>
      <c r="E142" s="20">
        <f t="shared" si="9"/>
        <v>0.12591050988553568</v>
      </c>
      <c r="F142" s="20">
        <f t="shared" si="10"/>
        <v>0.35483870967741904</v>
      </c>
      <c r="G142" s="21">
        <f t="shared" si="11"/>
        <v>112.5</v>
      </c>
    </row>
    <row r="143" spans="1:7" x14ac:dyDescent="0.25">
      <c r="A143" s="4">
        <v>246</v>
      </c>
      <c r="B143" s="4">
        <v>5</v>
      </c>
      <c r="C143" s="4">
        <v>5</v>
      </c>
      <c r="D143" s="20">
        <f t="shared" si="8"/>
        <v>4.354838709677419</v>
      </c>
      <c r="E143" s="20">
        <f t="shared" si="9"/>
        <v>0.41623309053069762</v>
      </c>
      <c r="F143" s="20">
        <f t="shared" si="10"/>
        <v>0.64516129032258096</v>
      </c>
      <c r="G143" s="21">
        <f t="shared" si="11"/>
        <v>234</v>
      </c>
    </row>
    <row r="144" spans="1:7" x14ac:dyDescent="0.25">
      <c r="A144" s="4">
        <v>247</v>
      </c>
      <c r="B144" s="4">
        <v>5</v>
      </c>
      <c r="C144" s="4">
        <v>3</v>
      </c>
      <c r="D144" s="20">
        <f t="shared" si="8"/>
        <v>4.354838709677419</v>
      </c>
      <c r="E144" s="20">
        <f t="shared" si="9"/>
        <v>1.8355879292403738</v>
      </c>
      <c r="F144" s="20">
        <f t="shared" si="10"/>
        <v>1.354838709677419</v>
      </c>
      <c r="G144" s="21">
        <f t="shared" si="11"/>
        <v>19.5</v>
      </c>
    </row>
    <row r="145" spans="1:7" x14ac:dyDescent="0.25">
      <c r="A145" s="4">
        <v>251</v>
      </c>
      <c r="B145" s="4">
        <v>5</v>
      </c>
      <c r="C145" s="4">
        <v>4</v>
      </c>
      <c r="D145" s="20">
        <f t="shared" si="8"/>
        <v>4.354838709677419</v>
      </c>
      <c r="E145" s="20">
        <f t="shared" si="9"/>
        <v>0.12591050988553568</v>
      </c>
      <c r="F145" s="20">
        <f t="shared" si="10"/>
        <v>0.35483870967741904</v>
      </c>
      <c r="G145" s="21">
        <f t="shared" si="11"/>
        <v>112.5</v>
      </c>
    </row>
    <row r="146" spans="1:7" x14ac:dyDescent="0.25">
      <c r="A146" s="4">
        <v>257</v>
      </c>
      <c r="B146" s="4">
        <v>5</v>
      </c>
      <c r="C146" s="4">
        <v>5</v>
      </c>
      <c r="D146" s="20">
        <f t="shared" si="8"/>
        <v>4.354838709677419</v>
      </c>
      <c r="E146" s="20">
        <f t="shared" si="9"/>
        <v>0.41623309053069762</v>
      </c>
      <c r="F146" s="20">
        <f t="shared" si="10"/>
        <v>0.64516129032258096</v>
      </c>
      <c r="G146" s="21">
        <f t="shared" si="11"/>
        <v>234</v>
      </c>
    </row>
    <row r="147" spans="1:7" x14ac:dyDescent="0.25">
      <c r="A147" s="4">
        <v>266</v>
      </c>
      <c r="B147" s="4">
        <v>5</v>
      </c>
      <c r="C147" s="4">
        <v>4</v>
      </c>
      <c r="D147" s="20">
        <f t="shared" si="8"/>
        <v>4.354838709677419</v>
      </c>
      <c r="E147" s="20">
        <f t="shared" si="9"/>
        <v>0.12591050988553568</v>
      </c>
      <c r="F147" s="20">
        <f t="shared" si="10"/>
        <v>0.35483870967741904</v>
      </c>
      <c r="G147" s="21">
        <f t="shared" si="11"/>
        <v>112.5</v>
      </c>
    </row>
    <row r="148" spans="1:7" x14ac:dyDescent="0.25">
      <c r="A148" s="4">
        <v>267</v>
      </c>
      <c r="B148" s="4">
        <v>5</v>
      </c>
      <c r="C148" s="4">
        <v>5</v>
      </c>
      <c r="D148" s="20">
        <f t="shared" si="8"/>
        <v>4.354838709677419</v>
      </c>
      <c r="E148" s="20">
        <f t="shared" si="9"/>
        <v>0.41623309053069762</v>
      </c>
      <c r="F148" s="20">
        <f t="shared" si="10"/>
        <v>0.64516129032258096</v>
      </c>
      <c r="G148" s="21">
        <f t="shared" si="11"/>
        <v>234</v>
      </c>
    </row>
    <row r="149" spans="1:7" x14ac:dyDescent="0.25">
      <c r="A149" s="4">
        <v>274</v>
      </c>
      <c r="B149" s="4">
        <v>5</v>
      </c>
      <c r="C149" s="4">
        <v>4</v>
      </c>
      <c r="D149" s="20">
        <f t="shared" si="8"/>
        <v>4.354838709677419</v>
      </c>
      <c r="E149" s="20">
        <f t="shared" si="9"/>
        <v>0.12591050988553568</v>
      </c>
      <c r="F149" s="20">
        <f t="shared" si="10"/>
        <v>0.35483870967741904</v>
      </c>
      <c r="G149" s="21">
        <f t="shared" si="11"/>
        <v>112.5</v>
      </c>
    </row>
    <row r="150" spans="1:7" x14ac:dyDescent="0.25">
      <c r="A150" s="4">
        <v>278</v>
      </c>
      <c r="B150" s="4">
        <v>5</v>
      </c>
      <c r="C150" s="4">
        <v>5</v>
      </c>
      <c r="D150" s="20">
        <f t="shared" si="8"/>
        <v>4.354838709677419</v>
      </c>
      <c r="E150" s="20">
        <f t="shared" si="9"/>
        <v>0.41623309053069762</v>
      </c>
      <c r="F150" s="20">
        <f t="shared" si="10"/>
        <v>0.64516129032258096</v>
      </c>
      <c r="G150" s="21">
        <f t="shared" si="11"/>
        <v>234</v>
      </c>
    </row>
    <row r="151" spans="1:7" x14ac:dyDescent="0.25">
      <c r="A151" s="4">
        <v>279</v>
      </c>
      <c r="B151" s="4">
        <v>5</v>
      </c>
      <c r="C151" s="4">
        <v>5</v>
      </c>
      <c r="D151" s="20">
        <f t="shared" si="8"/>
        <v>4.354838709677419</v>
      </c>
      <c r="E151" s="20">
        <f t="shared" si="9"/>
        <v>0.41623309053069762</v>
      </c>
      <c r="F151" s="20">
        <f t="shared" si="10"/>
        <v>0.64516129032258096</v>
      </c>
      <c r="G151" s="21">
        <f t="shared" si="11"/>
        <v>234</v>
      </c>
    </row>
    <row r="152" spans="1:7" x14ac:dyDescent="0.25">
      <c r="A152" s="4">
        <v>282</v>
      </c>
      <c r="B152" s="4">
        <v>5</v>
      </c>
      <c r="C152" s="4">
        <v>3</v>
      </c>
      <c r="D152" s="20">
        <f t="shared" si="8"/>
        <v>4.354838709677419</v>
      </c>
      <c r="E152" s="20">
        <f t="shared" si="9"/>
        <v>1.8355879292403738</v>
      </c>
      <c r="F152" s="20">
        <f t="shared" si="10"/>
        <v>1.354838709677419</v>
      </c>
      <c r="G152" s="21">
        <f t="shared" si="11"/>
        <v>19.5</v>
      </c>
    </row>
    <row r="153" spans="1:7" x14ac:dyDescent="0.25">
      <c r="A153" s="4">
        <v>286</v>
      </c>
      <c r="B153" s="4">
        <v>5</v>
      </c>
      <c r="C153" s="4">
        <v>6</v>
      </c>
      <c r="D153" s="20">
        <f t="shared" si="8"/>
        <v>4.354838709677419</v>
      </c>
      <c r="E153" s="20">
        <f t="shared" si="9"/>
        <v>2.7065556711758596</v>
      </c>
      <c r="F153" s="20">
        <f t="shared" si="10"/>
        <v>1.645161290322581</v>
      </c>
      <c r="G153" s="21">
        <f t="shared" si="11"/>
        <v>328</v>
      </c>
    </row>
    <row r="154" spans="1:7" x14ac:dyDescent="0.25">
      <c r="A154" s="4">
        <v>288</v>
      </c>
      <c r="B154" s="4">
        <v>5</v>
      </c>
      <c r="C154" s="4">
        <v>4</v>
      </c>
      <c r="D154" s="20">
        <f t="shared" si="8"/>
        <v>4.354838709677419</v>
      </c>
      <c r="E154" s="20">
        <f t="shared" si="9"/>
        <v>0.12591050988553568</v>
      </c>
      <c r="F154" s="20">
        <f t="shared" si="10"/>
        <v>0.35483870967741904</v>
      </c>
      <c r="G154" s="21">
        <f t="shared" si="11"/>
        <v>112.5</v>
      </c>
    </row>
    <row r="155" spans="1:7" x14ac:dyDescent="0.25">
      <c r="A155" s="4">
        <v>293</v>
      </c>
      <c r="B155" s="4">
        <v>5</v>
      </c>
      <c r="C155" s="4">
        <v>5</v>
      </c>
      <c r="D155" s="20">
        <f t="shared" si="8"/>
        <v>4.354838709677419</v>
      </c>
      <c r="E155" s="20">
        <f t="shared" si="9"/>
        <v>0.41623309053069762</v>
      </c>
      <c r="F155" s="20">
        <f t="shared" si="10"/>
        <v>0.64516129032258096</v>
      </c>
      <c r="G155" s="21">
        <f t="shared" si="11"/>
        <v>234</v>
      </c>
    </row>
    <row r="156" spans="1:7" x14ac:dyDescent="0.25">
      <c r="A156" s="4">
        <v>308</v>
      </c>
      <c r="B156" s="4">
        <v>5</v>
      </c>
      <c r="C156" s="4">
        <v>4</v>
      </c>
      <c r="D156" s="20">
        <f t="shared" si="8"/>
        <v>4.354838709677419</v>
      </c>
      <c r="E156" s="20">
        <f t="shared" si="9"/>
        <v>0.12591050988553568</v>
      </c>
      <c r="F156" s="20">
        <f t="shared" si="10"/>
        <v>0.35483870967741904</v>
      </c>
      <c r="G156" s="21">
        <f t="shared" si="11"/>
        <v>112.5</v>
      </c>
    </row>
    <row r="157" spans="1:7" x14ac:dyDescent="0.25">
      <c r="A157" s="4">
        <v>309</v>
      </c>
      <c r="B157" s="4">
        <v>5</v>
      </c>
      <c r="C157" s="4">
        <v>5</v>
      </c>
      <c r="D157" s="20">
        <f t="shared" si="8"/>
        <v>4.354838709677419</v>
      </c>
      <c r="E157" s="20">
        <f t="shared" si="9"/>
        <v>0.41623309053069762</v>
      </c>
      <c r="F157" s="20">
        <f t="shared" si="10"/>
        <v>0.64516129032258096</v>
      </c>
      <c r="G157" s="21">
        <f t="shared" si="11"/>
        <v>234</v>
      </c>
    </row>
    <row r="158" spans="1:7" x14ac:dyDescent="0.25">
      <c r="A158" s="4">
        <v>310</v>
      </c>
      <c r="B158" s="4">
        <v>5</v>
      </c>
      <c r="C158" s="4">
        <v>3</v>
      </c>
      <c r="D158" s="20">
        <f t="shared" si="8"/>
        <v>4.354838709677419</v>
      </c>
      <c r="E158" s="20">
        <f t="shared" si="9"/>
        <v>1.8355879292403738</v>
      </c>
      <c r="F158" s="20">
        <f t="shared" si="10"/>
        <v>1.354838709677419</v>
      </c>
      <c r="G158" s="21">
        <f t="shared" si="11"/>
        <v>19.5</v>
      </c>
    </row>
    <row r="159" spans="1:7" x14ac:dyDescent="0.25">
      <c r="A159" s="4">
        <v>314</v>
      </c>
      <c r="B159" s="4">
        <v>5</v>
      </c>
      <c r="C159" s="4">
        <v>4</v>
      </c>
      <c r="D159" s="20">
        <f t="shared" si="8"/>
        <v>4.354838709677419</v>
      </c>
      <c r="E159" s="20">
        <f t="shared" si="9"/>
        <v>0.12591050988553568</v>
      </c>
      <c r="F159" s="20">
        <f t="shared" si="10"/>
        <v>0.35483870967741904</v>
      </c>
      <c r="G159" s="21">
        <f t="shared" si="11"/>
        <v>112.5</v>
      </c>
    </row>
    <row r="160" spans="1:7" x14ac:dyDescent="0.25">
      <c r="A160" s="4">
        <v>320</v>
      </c>
      <c r="B160" s="4">
        <v>5</v>
      </c>
      <c r="C160" s="4">
        <v>5</v>
      </c>
      <c r="D160" s="20">
        <f t="shared" si="8"/>
        <v>4.354838709677419</v>
      </c>
      <c r="E160" s="20">
        <f t="shared" si="9"/>
        <v>0.41623309053069762</v>
      </c>
      <c r="F160" s="20">
        <f t="shared" si="10"/>
        <v>0.64516129032258096</v>
      </c>
      <c r="G160" s="21">
        <f t="shared" si="11"/>
        <v>234</v>
      </c>
    </row>
    <row r="161" spans="1:7" x14ac:dyDescent="0.25">
      <c r="A161" s="4">
        <v>321</v>
      </c>
      <c r="B161" s="4">
        <v>5</v>
      </c>
      <c r="C161" s="4">
        <v>5</v>
      </c>
      <c r="D161" s="20">
        <f t="shared" si="8"/>
        <v>4.354838709677419</v>
      </c>
      <c r="E161" s="20">
        <f t="shared" si="9"/>
        <v>0.41623309053069762</v>
      </c>
      <c r="F161" s="20">
        <f t="shared" si="10"/>
        <v>0.64516129032258096</v>
      </c>
      <c r="G161" s="21">
        <f t="shared" si="11"/>
        <v>234</v>
      </c>
    </row>
    <row r="162" spans="1:7" x14ac:dyDescent="0.25">
      <c r="A162" s="4">
        <v>330</v>
      </c>
      <c r="B162" s="4">
        <v>5</v>
      </c>
      <c r="C162" s="4">
        <v>4</v>
      </c>
      <c r="D162" s="20">
        <f t="shared" si="8"/>
        <v>4.354838709677419</v>
      </c>
      <c r="E162" s="20">
        <f t="shared" si="9"/>
        <v>0.12591050988553568</v>
      </c>
      <c r="F162" s="20">
        <f t="shared" si="10"/>
        <v>0.35483870967741904</v>
      </c>
      <c r="G162" s="21">
        <f t="shared" si="11"/>
        <v>112.5</v>
      </c>
    </row>
    <row r="163" spans="1:7" x14ac:dyDescent="0.25">
      <c r="A163" s="4">
        <v>331</v>
      </c>
      <c r="B163" s="4">
        <v>5</v>
      </c>
      <c r="C163" s="4">
        <v>5</v>
      </c>
      <c r="D163" s="20">
        <f t="shared" si="8"/>
        <v>4.354838709677419</v>
      </c>
      <c r="E163" s="20">
        <f t="shared" si="9"/>
        <v>0.41623309053069762</v>
      </c>
      <c r="F163" s="20">
        <f t="shared" si="10"/>
        <v>0.64516129032258096</v>
      </c>
      <c r="G163" s="21">
        <f t="shared" si="11"/>
        <v>234</v>
      </c>
    </row>
    <row r="164" spans="1:7" x14ac:dyDescent="0.25">
      <c r="A164" s="4">
        <v>338</v>
      </c>
      <c r="B164" s="4">
        <v>5</v>
      </c>
      <c r="C164" s="4">
        <v>4</v>
      </c>
      <c r="D164" s="20">
        <f t="shared" si="8"/>
        <v>4.354838709677419</v>
      </c>
      <c r="E164" s="20">
        <f t="shared" si="9"/>
        <v>0.12591050988553568</v>
      </c>
      <c r="F164" s="20">
        <f t="shared" si="10"/>
        <v>0.35483870967741904</v>
      </c>
      <c r="G164" s="21">
        <f t="shared" si="11"/>
        <v>112.5</v>
      </c>
    </row>
    <row r="165" spans="1:7" x14ac:dyDescent="0.25">
      <c r="A165" s="4">
        <v>342</v>
      </c>
      <c r="B165" s="4">
        <v>5</v>
      </c>
      <c r="C165" s="4">
        <v>5</v>
      </c>
      <c r="D165" s="20">
        <f t="shared" si="8"/>
        <v>4.354838709677419</v>
      </c>
      <c r="E165" s="20">
        <f t="shared" si="9"/>
        <v>0.41623309053069762</v>
      </c>
      <c r="F165" s="20">
        <f t="shared" si="10"/>
        <v>0.64516129032258096</v>
      </c>
      <c r="G165" s="21">
        <f t="shared" si="11"/>
        <v>234</v>
      </c>
    </row>
    <row r="166" spans="1:7" x14ac:dyDescent="0.25">
      <c r="A166" s="4">
        <v>343</v>
      </c>
      <c r="B166" s="4">
        <v>5</v>
      </c>
      <c r="C166" s="4">
        <v>5</v>
      </c>
      <c r="D166" s="20">
        <f t="shared" si="8"/>
        <v>4.354838709677419</v>
      </c>
      <c r="E166" s="20">
        <f t="shared" si="9"/>
        <v>0.41623309053069762</v>
      </c>
      <c r="F166" s="20">
        <f t="shared" si="10"/>
        <v>0.64516129032258096</v>
      </c>
      <c r="G166" s="21">
        <f t="shared" si="11"/>
        <v>234</v>
      </c>
    </row>
    <row r="167" spans="1:7" x14ac:dyDescent="0.25">
      <c r="A167" s="4">
        <v>346</v>
      </c>
      <c r="B167" s="4">
        <v>5</v>
      </c>
      <c r="C167" s="4">
        <v>3</v>
      </c>
      <c r="D167" s="20">
        <f t="shared" si="8"/>
        <v>4.354838709677419</v>
      </c>
      <c r="E167" s="20">
        <f t="shared" si="9"/>
        <v>1.8355879292403738</v>
      </c>
      <c r="F167" s="20">
        <f t="shared" si="10"/>
        <v>1.354838709677419</v>
      </c>
      <c r="G167" s="21">
        <f t="shared" si="11"/>
        <v>19.5</v>
      </c>
    </row>
    <row r="168" spans="1:7" x14ac:dyDescent="0.25">
      <c r="A168" s="4">
        <v>350</v>
      </c>
      <c r="B168" s="4">
        <v>5</v>
      </c>
      <c r="C168" s="4">
        <v>5</v>
      </c>
      <c r="D168" s="20">
        <f t="shared" si="8"/>
        <v>4.354838709677419</v>
      </c>
      <c r="E168" s="20">
        <f t="shared" si="9"/>
        <v>0.41623309053069762</v>
      </c>
      <c r="F168" s="20">
        <f t="shared" si="10"/>
        <v>0.64516129032258096</v>
      </c>
      <c r="G168" s="21">
        <f t="shared" si="11"/>
        <v>234</v>
      </c>
    </row>
    <row r="169" spans="1:7" x14ac:dyDescent="0.25">
      <c r="A169" s="4">
        <v>352</v>
      </c>
      <c r="B169" s="4">
        <v>5</v>
      </c>
      <c r="C169" s="4">
        <v>4</v>
      </c>
      <c r="D169" s="20">
        <f t="shared" si="8"/>
        <v>4.354838709677419</v>
      </c>
      <c r="E169" s="20">
        <f t="shared" si="9"/>
        <v>0.12591050988553568</v>
      </c>
      <c r="F169" s="20">
        <f t="shared" si="10"/>
        <v>0.35483870967741904</v>
      </c>
      <c r="G169" s="21">
        <f t="shared" si="11"/>
        <v>112.5</v>
      </c>
    </row>
    <row r="170" spans="1:7" x14ac:dyDescent="0.25">
      <c r="A170" s="4">
        <v>357</v>
      </c>
      <c r="B170" s="4">
        <v>5</v>
      </c>
      <c r="C170" s="4">
        <v>5</v>
      </c>
      <c r="D170" s="20">
        <f t="shared" si="8"/>
        <v>4.354838709677419</v>
      </c>
      <c r="E170" s="20">
        <f t="shared" si="9"/>
        <v>0.41623309053069762</v>
      </c>
      <c r="F170" s="20">
        <f t="shared" si="10"/>
        <v>0.64516129032258096</v>
      </c>
      <c r="G170" s="21">
        <f t="shared" si="11"/>
        <v>234</v>
      </c>
    </row>
    <row r="171" spans="1:7" x14ac:dyDescent="0.25">
      <c r="A171" s="4">
        <v>371</v>
      </c>
      <c r="B171" s="4">
        <v>5</v>
      </c>
      <c r="C171" s="4">
        <v>4</v>
      </c>
      <c r="D171" s="20">
        <f t="shared" si="8"/>
        <v>4.354838709677419</v>
      </c>
      <c r="E171" s="20">
        <f t="shared" si="9"/>
        <v>0.12591050988553568</v>
      </c>
      <c r="F171" s="20">
        <f t="shared" si="10"/>
        <v>0.35483870967741904</v>
      </c>
      <c r="G171" s="21">
        <f t="shared" si="11"/>
        <v>112.5</v>
      </c>
    </row>
    <row r="172" spans="1:7" x14ac:dyDescent="0.25">
      <c r="A172" s="4">
        <v>372</v>
      </c>
      <c r="B172" s="4">
        <v>5</v>
      </c>
      <c r="C172" s="4">
        <v>5</v>
      </c>
      <c r="D172" s="20">
        <f t="shared" si="8"/>
        <v>4.354838709677419</v>
      </c>
      <c r="E172" s="20">
        <f t="shared" si="9"/>
        <v>0.41623309053069762</v>
      </c>
      <c r="F172" s="20">
        <f t="shared" si="10"/>
        <v>0.64516129032258096</v>
      </c>
      <c r="G172" s="21">
        <f t="shared" si="11"/>
        <v>234</v>
      </c>
    </row>
    <row r="173" spans="1:7" x14ac:dyDescent="0.25">
      <c r="A173" s="4">
        <v>373</v>
      </c>
      <c r="B173" s="4">
        <v>5</v>
      </c>
      <c r="C173" s="4">
        <v>3</v>
      </c>
      <c r="D173" s="20">
        <f t="shared" si="8"/>
        <v>4.354838709677419</v>
      </c>
      <c r="E173" s="20">
        <f t="shared" si="9"/>
        <v>1.8355879292403738</v>
      </c>
      <c r="F173" s="20">
        <f t="shared" si="10"/>
        <v>1.354838709677419</v>
      </c>
      <c r="G173" s="21">
        <f t="shared" si="11"/>
        <v>19.5</v>
      </c>
    </row>
    <row r="174" spans="1:7" x14ac:dyDescent="0.25">
      <c r="A174" s="4">
        <v>377</v>
      </c>
      <c r="B174" s="4">
        <v>5</v>
      </c>
      <c r="C174" s="4">
        <v>4</v>
      </c>
      <c r="D174" s="20">
        <f t="shared" si="8"/>
        <v>4.354838709677419</v>
      </c>
      <c r="E174" s="20">
        <f t="shared" si="9"/>
        <v>0.12591050988553568</v>
      </c>
      <c r="F174" s="20">
        <f t="shared" si="10"/>
        <v>0.35483870967741904</v>
      </c>
      <c r="G174" s="21">
        <f t="shared" si="11"/>
        <v>112.5</v>
      </c>
    </row>
    <row r="175" spans="1:7" x14ac:dyDescent="0.25">
      <c r="A175" s="4">
        <v>383</v>
      </c>
      <c r="B175" s="4">
        <v>5</v>
      </c>
      <c r="C175" s="4">
        <v>5</v>
      </c>
      <c r="D175" s="20">
        <f t="shared" si="8"/>
        <v>4.354838709677419</v>
      </c>
      <c r="E175" s="20">
        <f t="shared" si="9"/>
        <v>0.41623309053069762</v>
      </c>
      <c r="F175" s="20">
        <f t="shared" si="10"/>
        <v>0.64516129032258096</v>
      </c>
      <c r="G175" s="21">
        <f t="shared" si="11"/>
        <v>234</v>
      </c>
    </row>
    <row r="176" spans="1:7" x14ac:dyDescent="0.25">
      <c r="A176" s="4">
        <v>394</v>
      </c>
      <c r="B176" s="4">
        <v>5</v>
      </c>
      <c r="C176" s="4">
        <v>5</v>
      </c>
      <c r="D176" s="20">
        <f t="shared" si="8"/>
        <v>4.354838709677419</v>
      </c>
      <c r="E176" s="20">
        <f t="shared" si="9"/>
        <v>0.41623309053069762</v>
      </c>
      <c r="F176" s="20">
        <f t="shared" si="10"/>
        <v>0.64516129032258096</v>
      </c>
      <c r="G176" s="21">
        <f t="shared" si="11"/>
        <v>234</v>
      </c>
    </row>
    <row r="177" spans="1:7" x14ac:dyDescent="0.25">
      <c r="A177" s="4">
        <v>396</v>
      </c>
      <c r="B177" s="4">
        <v>5</v>
      </c>
      <c r="C177" s="4">
        <v>4</v>
      </c>
      <c r="D177" s="20">
        <f t="shared" si="8"/>
        <v>4.354838709677419</v>
      </c>
      <c r="E177" s="20">
        <f t="shared" si="9"/>
        <v>0.12591050988553568</v>
      </c>
      <c r="F177" s="20">
        <f t="shared" si="10"/>
        <v>0.35483870967741904</v>
      </c>
      <c r="G177" s="21">
        <f t="shared" si="11"/>
        <v>112.5</v>
      </c>
    </row>
    <row r="178" spans="1:7" x14ac:dyDescent="0.25">
      <c r="A178" s="4">
        <v>399</v>
      </c>
      <c r="B178" s="4">
        <v>5</v>
      </c>
      <c r="C178" s="4">
        <v>3</v>
      </c>
      <c r="D178" s="20">
        <f t="shared" si="8"/>
        <v>4.354838709677419</v>
      </c>
      <c r="E178" s="20">
        <f t="shared" si="9"/>
        <v>1.8355879292403738</v>
      </c>
      <c r="F178" s="20">
        <f t="shared" si="10"/>
        <v>1.354838709677419</v>
      </c>
      <c r="G178" s="21">
        <f t="shared" si="11"/>
        <v>19.5</v>
      </c>
    </row>
    <row r="179" spans="1:7" x14ac:dyDescent="0.25">
      <c r="A179" s="4">
        <v>404</v>
      </c>
      <c r="B179" s="4">
        <v>5</v>
      </c>
      <c r="C179" s="4">
        <v>4</v>
      </c>
      <c r="D179" s="20">
        <f t="shared" si="8"/>
        <v>4.354838709677419</v>
      </c>
      <c r="E179" s="20">
        <f t="shared" si="9"/>
        <v>0.12591050988553568</v>
      </c>
      <c r="F179" s="20">
        <f t="shared" si="10"/>
        <v>0.35483870967741904</v>
      </c>
      <c r="G179" s="21">
        <f t="shared" si="11"/>
        <v>112.5</v>
      </c>
    </row>
    <row r="180" spans="1:7" x14ac:dyDescent="0.25">
      <c r="A180" s="4">
        <v>5</v>
      </c>
      <c r="B180" s="4">
        <v>6</v>
      </c>
      <c r="C180" s="4">
        <v>3</v>
      </c>
      <c r="D180" s="20">
        <f t="shared" si="8"/>
        <v>4.8499999999999996</v>
      </c>
      <c r="E180" s="20">
        <f t="shared" si="9"/>
        <v>3.4224999999999985</v>
      </c>
      <c r="F180" s="20">
        <f t="shared" si="10"/>
        <v>1.8499999999999996</v>
      </c>
      <c r="G180" s="21">
        <f t="shared" si="11"/>
        <v>19.5</v>
      </c>
    </row>
    <row r="181" spans="1:7" x14ac:dyDescent="0.25">
      <c r="A181" s="4">
        <v>6</v>
      </c>
      <c r="B181" s="4">
        <v>6</v>
      </c>
      <c r="C181" s="4">
        <v>6</v>
      </c>
      <c r="D181" s="20">
        <f t="shared" si="8"/>
        <v>4.8499999999999996</v>
      </c>
      <c r="E181" s="20">
        <f t="shared" si="9"/>
        <v>1.3225000000000009</v>
      </c>
      <c r="F181" s="20">
        <f t="shared" si="10"/>
        <v>1.1500000000000004</v>
      </c>
      <c r="G181" s="21">
        <f t="shared" si="11"/>
        <v>328</v>
      </c>
    </row>
    <row r="182" spans="1:7" x14ac:dyDescent="0.25">
      <c r="A182" s="4">
        <v>7</v>
      </c>
      <c r="B182" s="4">
        <v>6</v>
      </c>
      <c r="C182" s="4">
        <v>4</v>
      </c>
      <c r="D182" s="20">
        <f t="shared" si="8"/>
        <v>4.8499999999999996</v>
      </c>
      <c r="E182" s="20">
        <f t="shared" si="9"/>
        <v>0.72249999999999936</v>
      </c>
      <c r="F182" s="20">
        <f t="shared" si="10"/>
        <v>0.84999999999999964</v>
      </c>
      <c r="G182" s="21">
        <f t="shared" si="11"/>
        <v>112.5</v>
      </c>
    </row>
    <row r="183" spans="1:7" x14ac:dyDescent="0.25">
      <c r="A183" s="4">
        <v>27</v>
      </c>
      <c r="B183" s="4">
        <v>6</v>
      </c>
      <c r="C183" s="4">
        <v>6</v>
      </c>
      <c r="D183" s="20">
        <f t="shared" si="8"/>
        <v>4.8499999999999996</v>
      </c>
      <c r="E183" s="20">
        <f t="shared" si="9"/>
        <v>1.3225000000000009</v>
      </c>
      <c r="F183" s="20">
        <f t="shared" si="10"/>
        <v>1.1500000000000004</v>
      </c>
      <c r="G183" s="21">
        <f t="shared" si="11"/>
        <v>328</v>
      </c>
    </row>
    <row r="184" spans="1:7" x14ac:dyDescent="0.25">
      <c r="A184" s="4">
        <v>29</v>
      </c>
      <c r="B184" s="4">
        <v>6</v>
      </c>
      <c r="C184" s="4">
        <v>6</v>
      </c>
      <c r="D184" s="20">
        <f t="shared" si="8"/>
        <v>4.8499999999999996</v>
      </c>
      <c r="E184" s="20">
        <f t="shared" si="9"/>
        <v>1.3225000000000009</v>
      </c>
      <c r="F184" s="20">
        <f t="shared" si="10"/>
        <v>1.1500000000000004</v>
      </c>
      <c r="G184" s="21">
        <f t="shared" si="11"/>
        <v>328</v>
      </c>
    </row>
    <row r="185" spans="1:7" x14ac:dyDescent="0.25">
      <c r="A185" s="4">
        <v>35</v>
      </c>
      <c r="B185" s="4">
        <v>6</v>
      </c>
      <c r="C185" s="4">
        <v>4</v>
      </c>
      <c r="D185" s="20">
        <f t="shared" si="8"/>
        <v>4.8499999999999996</v>
      </c>
      <c r="E185" s="20">
        <f t="shared" si="9"/>
        <v>0.72249999999999936</v>
      </c>
      <c r="F185" s="20">
        <f t="shared" si="10"/>
        <v>0.84999999999999964</v>
      </c>
      <c r="G185" s="21">
        <f t="shared" si="11"/>
        <v>112.5</v>
      </c>
    </row>
    <row r="186" spans="1:7" x14ac:dyDescent="0.25">
      <c r="A186" s="4">
        <v>43</v>
      </c>
      <c r="B186" s="4">
        <v>6</v>
      </c>
      <c r="C186" s="4">
        <v>5</v>
      </c>
      <c r="D186" s="20">
        <f t="shared" si="8"/>
        <v>4.8499999999999996</v>
      </c>
      <c r="E186" s="20">
        <f t="shared" si="9"/>
        <v>2.2500000000000107E-2</v>
      </c>
      <c r="F186" s="20">
        <f t="shared" si="10"/>
        <v>0.15000000000000036</v>
      </c>
      <c r="G186" s="21">
        <f t="shared" si="11"/>
        <v>234</v>
      </c>
    </row>
    <row r="187" spans="1:7" x14ac:dyDescent="0.25">
      <c r="A187" s="4">
        <v>48</v>
      </c>
      <c r="B187" s="4">
        <v>6</v>
      </c>
      <c r="C187" s="4">
        <v>3</v>
      </c>
      <c r="D187" s="20">
        <f t="shared" si="8"/>
        <v>4.8499999999999996</v>
      </c>
      <c r="E187" s="20">
        <f t="shared" si="9"/>
        <v>3.4224999999999985</v>
      </c>
      <c r="F187" s="20">
        <f t="shared" si="10"/>
        <v>1.8499999999999996</v>
      </c>
      <c r="G187" s="21">
        <f t="shared" si="11"/>
        <v>19.5</v>
      </c>
    </row>
    <row r="188" spans="1:7" x14ac:dyDescent="0.25">
      <c r="A188" s="4">
        <v>59</v>
      </c>
      <c r="B188" s="4">
        <v>6</v>
      </c>
      <c r="C188" s="4">
        <v>5</v>
      </c>
      <c r="D188" s="20">
        <f t="shared" si="8"/>
        <v>4.8499999999999996</v>
      </c>
      <c r="E188" s="20">
        <f t="shared" si="9"/>
        <v>2.2500000000000107E-2</v>
      </c>
      <c r="F188" s="20">
        <f t="shared" si="10"/>
        <v>0.15000000000000036</v>
      </c>
      <c r="G188" s="21">
        <f t="shared" si="11"/>
        <v>234</v>
      </c>
    </row>
    <row r="189" spans="1:7" x14ac:dyDescent="0.25">
      <c r="A189" s="4">
        <v>60</v>
      </c>
      <c r="B189" s="4">
        <v>6</v>
      </c>
      <c r="C189" s="4">
        <v>7</v>
      </c>
      <c r="D189" s="20">
        <f t="shared" si="8"/>
        <v>4.8499999999999996</v>
      </c>
      <c r="E189" s="20">
        <f t="shared" si="9"/>
        <v>4.6225000000000014</v>
      </c>
      <c r="F189" s="20">
        <f t="shared" si="10"/>
        <v>2.1500000000000004</v>
      </c>
      <c r="G189" s="21">
        <f t="shared" si="11"/>
        <v>390</v>
      </c>
    </row>
    <row r="190" spans="1:7" x14ac:dyDescent="0.25">
      <c r="A190" s="4">
        <v>68</v>
      </c>
      <c r="B190" s="4">
        <v>6</v>
      </c>
      <c r="C190" s="4">
        <v>3</v>
      </c>
      <c r="D190" s="20">
        <f t="shared" si="8"/>
        <v>4.8499999999999996</v>
      </c>
      <c r="E190" s="20">
        <f t="shared" si="9"/>
        <v>3.4224999999999985</v>
      </c>
      <c r="F190" s="20">
        <f t="shared" si="10"/>
        <v>1.8499999999999996</v>
      </c>
      <c r="G190" s="21">
        <f t="shared" si="11"/>
        <v>19.5</v>
      </c>
    </row>
    <row r="191" spans="1:7" x14ac:dyDescent="0.25">
      <c r="A191" s="4">
        <v>69</v>
      </c>
      <c r="B191" s="4">
        <v>6</v>
      </c>
      <c r="C191" s="4">
        <v>6</v>
      </c>
      <c r="D191" s="20">
        <f t="shared" si="8"/>
        <v>4.8499999999999996</v>
      </c>
      <c r="E191" s="20">
        <f t="shared" si="9"/>
        <v>1.3225000000000009</v>
      </c>
      <c r="F191" s="20">
        <f t="shared" si="10"/>
        <v>1.1500000000000004</v>
      </c>
      <c r="G191" s="21">
        <f t="shared" si="11"/>
        <v>328</v>
      </c>
    </row>
    <row r="192" spans="1:7" x14ac:dyDescent="0.25">
      <c r="A192" s="4">
        <v>70</v>
      </c>
      <c r="B192" s="4">
        <v>6</v>
      </c>
      <c r="C192" s="4">
        <v>4</v>
      </c>
      <c r="D192" s="20">
        <f t="shared" si="8"/>
        <v>4.8499999999999996</v>
      </c>
      <c r="E192" s="20">
        <f t="shared" si="9"/>
        <v>0.72249999999999936</v>
      </c>
      <c r="F192" s="20">
        <f t="shared" si="10"/>
        <v>0.84999999999999964</v>
      </c>
      <c r="G192" s="21">
        <f t="shared" si="11"/>
        <v>112.5</v>
      </c>
    </row>
    <row r="193" spans="1:7" x14ac:dyDescent="0.25">
      <c r="A193" s="4">
        <v>90</v>
      </c>
      <c r="B193" s="4">
        <v>6</v>
      </c>
      <c r="C193" s="4">
        <v>6</v>
      </c>
      <c r="D193" s="20">
        <f t="shared" si="8"/>
        <v>4.8499999999999996</v>
      </c>
      <c r="E193" s="20">
        <f t="shared" si="9"/>
        <v>1.3225000000000009</v>
      </c>
      <c r="F193" s="20">
        <f t="shared" si="10"/>
        <v>1.1500000000000004</v>
      </c>
      <c r="G193" s="21">
        <f t="shared" si="11"/>
        <v>328</v>
      </c>
    </row>
    <row r="194" spans="1:7" x14ac:dyDescent="0.25">
      <c r="A194" s="4">
        <v>92</v>
      </c>
      <c r="B194" s="4">
        <v>6</v>
      </c>
      <c r="C194" s="4">
        <v>6</v>
      </c>
      <c r="D194" s="20">
        <f t="shared" ref="D194:D257" si="12">AVERAGEIF($B$2:$B$406,B194,$C$2:$C$406)</f>
        <v>4.8499999999999996</v>
      </c>
      <c r="E194" s="20">
        <f t="shared" ref="E194:E257" si="13">(C194-D194)^2</f>
        <v>1.3225000000000009</v>
      </c>
      <c r="F194" s="20">
        <f t="shared" ref="F194:F257" si="14">ABS(C194-D194)</f>
        <v>1.1500000000000004</v>
      </c>
      <c r="G194" s="21">
        <f t="shared" ref="G194:G257" si="15">_xlfn.RANK.AVG(C194,$C$2:$C$406,1)</f>
        <v>328</v>
      </c>
    </row>
    <row r="195" spans="1:7" x14ac:dyDescent="0.25">
      <c r="A195" s="4">
        <v>98</v>
      </c>
      <c r="B195" s="4">
        <v>6</v>
      </c>
      <c r="C195" s="4">
        <v>4</v>
      </c>
      <c r="D195" s="20">
        <f t="shared" si="12"/>
        <v>4.8499999999999996</v>
      </c>
      <c r="E195" s="20">
        <f t="shared" si="13"/>
        <v>0.72249999999999936</v>
      </c>
      <c r="F195" s="20">
        <f t="shared" si="14"/>
        <v>0.84999999999999964</v>
      </c>
      <c r="G195" s="21">
        <f t="shared" si="15"/>
        <v>112.5</v>
      </c>
    </row>
    <row r="196" spans="1:7" x14ac:dyDescent="0.25">
      <c r="A196" s="4">
        <v>106</v>
      </c>
      <c r="B196" s="4">
        <v>6</v>
      </c>
      <c r="C196" s="4">
        <v>5</v>
      </c>
      <c r="D196" s="20">
        <f t="shared" si="12"/>
        <v>4.8499999999999996</v>
      </c>
      <c r="E196" s="20">
        <f t="shared" si="13"/>
        <v>2.2500000000000107E-2</v>
      </c>
      <c r="F196" s="20">
        <f t="shared" si="14"/>
        <v>0.15000000000000036</v>
      </c>
      <c r="G196" s="21">
        <f t="shared" si="15"/>
        <v>234</v>
      </c>
    </row>
    <row r="197" spans="1:7" x14ac:dyDescent="0.25">
      <c r="A197" s="4">
        <v>111</v>
      </c>
      <c r="B197" s="4">
        <v>6</v>
      </c>
      <c r="C197" s="4">
        <v>3</v>
      </c>
      <c r="D197" s="20">
        <f t="shared" si="12"/>
        <v>4.8499999999999996</v>
      </c>
      <c r="E197" s="20">
        <f t="shared" si="13"/>
        <v>3.4224999999999985</v>
      </c>
      <c r="F197" s="20">
        <f t="shared" si="14"/>
        <v>1.8499999999999996</v>
      </c>
      <c r="G197" s="21">
        <f t="shared" si="15"/>
        <v>19.5</v>
      </c>
    </row>
    <row r="198" spans="1:7" x14ac:dyDescent="0.25">
      <c r="A198" s="4">
        <v>122</v>
      </c>
      <c r="B198" s="4">
        <v>6</v>
      </c>
      <c r="C198" s="4">
        <v>5</v>
      </c>
      <c r="D198" s="20">
        <f t="shared" si="12"/>
        <v>4.8499999999999996</v>
      </c>
      <c r="E198" s="20">
        <f t="shared" si="13"/>
        <v>2.2500000000000107E-2</v>
      </c>
      <c r="F198" s="20">
        <f t="shared" si="14"/>
        <v>0.15000000000000036</v>
      </c>
      <c r="G198" s="21">
        <f t="shared" si="15"/>
        <v>234</v>
      </c>
    </row>
    <row r="199" spans="1:7" x14ac:dyDescent="0.25">
      <c r="A199" s="4">
        <v>123</v>
      </c>
      <c r="B199" s="4">
        <v>6</v>
      </c>
      <c r="C199" s="4">
        <v>7</v>
      </c>
      <c r="D199" s="20">
        <f t="shared" si="12"/>
        <v>4.8499999999999996</v>
      </c>
      <c r="E199" s="20">
        <f t="shared" si="13"/>
        <v>4.6225000000000014</v>
      </c>
      <c r="F199" s="20">
        <f t="shared" si="14"/>
        <v>2.1500000000000004</v>
      </c>
      <c r="G199" s="21">
        <f t="shared" si="15"/>
        <v>390</v>
      </c>
    </row>
    <row r="200" spans="1:7" x14ac:dyDescent="0.25">
      <c r="A200" s="4">
        <v>131</v>
      </c>
      <c r="B200" s="4">
        <v>6</v>
      </c>
      <c r="C200" s="4">
        <v>3</v>
      </c>
      <c r="D200" s="20">
        <f t="shared" si="12"/>
        <v>4.8499999999999996</v>
      </c>
      <c r="E200" s="20">
        <f t="shared" si="13"/>
        <v>3.4224999999999985</v>
      </c>
      <c r="F200" s="20">
        <f t="shared" si="14"/>
        <v>1.8499999999999996</v>
      </c>
      <c r="G200" s="21">
        <f t="shared" si="15"/>
        <v>19.5</v>
      </c>
    </row>
    <row r="201" spans="1:7" x14ac:dyDescent="0.25">
      <c r="A201" s="4">
        <v>132</v>
      </c>
      <c r="B201" s="4">
        <v>6</v>
      </c>
      <c r="C201" s="4">
        <v>7</v>
      </c>
      <c r="D201" s="20">
        <f t="shared" si="12"/>
        <v>4.8499999999999996</v>
      </c>
      <c r="E201" s="20">
        <f t="shared" si="13"/>
        <v>4.6225000000000014</v>
      </c>
      <c r="F201" s="20">
        <f t="shared" si="14"/>
        <v>2.1500000000000004</v>
      </c>
      <c r="G201" s="21">
        <f t="shared" si="15"/>
        <v>390</v>
      </c>
    </row>
    <row r="202" spans="1:7" x14ac:dyDescent="0.25">
      <c r="A202" s="4">
        <v>133</v>
      </c>
      <c r="B202" s="4">
        <v>6</v>
      </c>
      <c r="C202" s="4">
        <v>4</v>
      </c>
      <c r="D202" s="20">
        <f t="shared" si="12"/>
        <v>4.8499999999999996</v>
      </c>
      <c r="E202" s="20">
        <f t="shared" si="13"/>
        <v>0.72249999999999936</v>
      </c>
      <c r="F202" s="20">
        <f t="shared" si="14"/>
        <v>0.84999999999999964</v>
      </c>
      <c r="G202" s="21">
        <f t="shared" si="15"/>
        <v>112.5</v>
      </c>
    </row>
    <row r="203" spans="1:7" x14ac:dyDescent="0.25">
      <c r="A203" s="4">
        <v>153</v>
      </c>
      <c r="B203" s="4">
        <v>6</v>
      </c>
      <c r="C203" s="4">
        <v>6</v>
      </c>
      <c r="D203" s="20">
        <f t="shared" si="12"/>
        <v>4.8499999999999996</v>
      </c>
      <c r="E203" s="20">
        <f t="shared" si="13"/>
        <v>1.3225000000000009</v>
      </c>
      <c r="F203" s="20">
        <f t="shared" si="14"/>
        <v>1.1500000000000004</v>
      </c>
      <c r="G203" s="21">
        <f t="shared" si="15"/>
        <v>328</v>
      </c>
    </row>
    <row r="204" spans="1:7" x14ac:dyDescent="0.25">
      <c r="A204" s="4">
        <v>155</v>
      </c>
      <c r="B204" s="4">
        <v>6</v>
      </c>
      <c r="C204" s="4">
        <v>7</v>
      </c>
      <c r="D204" s="20">
        <f t="shared" si="12"/>
        <v>4.8499999999999996</v>
      </c>
      <c r="E204" s="20">
        <f t="shared" si="13"/>
        <v>4.6225000000000014</v>
      </c>
      <c r="F204" s="20">
        <f t="shared" si="14"/>
        <v>2.1500000000000004</v>
      </c>
      <c r="G204" s="21">
        <f t="shared" si="15"/>
        <v>390</v>
      </c>
    </row>
    <row r="205" spans="1:7" x14ac:dyDescent="0.25">
      <c r="A205" s="4">
        <v>161</v>
      </c>
      <c r="B205" s="4">
        <v>6</v>
      </c>
      <c r="C205" s="4">
        <v>4</v>
      </c>
      <c r="D205" s="20">
        <f t="shared" si="12"/>
        <v>4.8499999999999996</v>
      </c>
      <c r="E205" s="20">
        <f t="shared" si="13"/>
        <v>0.72249999999999936</v>
      </c>
      <c r="F205" s="20">
        <f t="shared" si="14"/>
        <v>0.84999999999999964</v>
      </c>
      <c r="G205" s="21">
        <f t="shared" si="15"/>
        <v>112.5</v>
      </c>
    </row>
    <row r="206" spans="1:7" x14ac:dyDescent="0.25">
      <c r="A206" s="4">
        <v>169</v>
      </c>
      <c r="B206" s="4">
        <v>6</v>
      </c>
      <c r="C206" s="4">
        <v>5</v>
      </c>
      <c r="D206" s="20">
        <f t="shared" si="12"/>
        <v>4.8499999999999996</v>
      </c>
      <c r="E206" s="20">
        <f t="shared" si="13"/>
        <v>2.2500000000000107E-2</v>
      </c>
      <c r="F206" s="20">
        <f t="shared" si="14"/>
        <v>0.15000000000000036</v>
      </c>
      <c r="G206" s="21">
        <f t="shared" si="15"/>
        <v>234</v>
      </c>
    </row>
    <row r="207" spans="1:7" x14ac:dyDescent="0.25">
      <c r="A207" s="4">
        <v>174</v>
      </c>
      <c r="B207" s="4">
        <v>6</v>
      </c>
      <c r="C207" s="4">
        <v>3</v>
      </c>
      <c r="D207" s="20">
        <f t="shared" si="12"/>
        <v>4.8499999999999996</v>
      </c>
      <c r="E207" s="20">
        <f t="shared" si="13"/>
        <v>3.4224999999999985</v>
      </c>
      <c r="F207" s="20">
        <f t="shared" si="14"/>
        <v>1.8499999999999996</v>
      </c>
      <c r="G207" s="21">
        <f t="shared" si="15"/>
        <v>19.5</v>
      </c>
    </row>
    <row r="208" spans="1:7" x14ac:dyDescent="0.25">
      <c r="A208" s="4">
        <v>185</v>
      </c>
      <c r="B208" s="4">
        <v>6</v>
      </c>
      <c r="C208" s="4">
        <v>5</v>
      </c>
      <c r="D208" s="20">
        <f t="shared" si="12"/>
        <v>4.8499999999999996</v>
      </c>
      <c r="E208" s="20">
        <f t="shared" si="13"/>
        <v>2.2500000000000107E-2</v>
      </c>
      <c r="F208" s="20">
        <f t="shared" si="14"/>
        <v>0.15000000000000036</v>
      </c>
      <c r="G208" s="21">
        <f t="shared" si="15"/>
        <v>234</v>
      </c>
    </row>
    <row r="209" spans="1:7" x14ac:dyDescent="0.25">
      <c r="A209" s="4">
        <v>186</v>
      </c>
      <c r="B209" s="4">
        <v>6</v>
      </c>
      <c r="C209" s="4">
        <v>7</v>
      </c>
      <c r="D209" s="20">
        <f t="shared" si="12"/>
        <v>4.8499999999999996</v>
      </c>
      <c r="E209" s="20">
        <f t="shared" si="13"/>
        <v>4.6225000000000014</v>
      </c>
      <c r="F209" s="20">
        <f t="shared" si="14"/>
        <v>2.1500000000000004</v>
      </c>
      <c r="G209" s="21">
        <f t="shared" si="15"/>
        <v>390</v>
      </c>
    </row>
    <row r="210" spans="1:7" x14ac:dyDescent="0.25">
      <c r="A210" s="4">
        <v>205</v>
      </c>
      <c r="B210" s="4">
        <v>6</v>
      </c>
      <c r="C210" s="4">
        <v>3</v>
      </c>
      <c r="D210" s="20">
        <f t="shared" si="12"/>
        <v>4.8499999999999996</v>
      </c>
      <c r="E210" s="20">
        <f t="shared" si="13"/>
        <v>3.4224999999999985</v>
      </c>
      <c r="F210" s="20">
        <f t="shared" si="14"/>
        <v>1.8499999999999996</v>
      </c>
      <c r="G210" s="21">
        <f t="shared" si="15"/>
        <v>19.5</v>
      </c>
    </row>
    <row r="211" spans="1:7" x14ac:dyDescent="0.25">
      <c r="A211" s="4">
        <v>206</v>
      </c>
      <c r="B211" s="4">
        <v>6</v>
      </c>
      <c r="C211" s="4">
        <v>5</v>
      </c>
      <c r="D211" s="20">
        <f t="shared" si="12"/>
        <v>4.8499999999999996</v>
      </c>
      <c r="E211" s="20">
        <f t="shared" si="13"/>
        <v>2.2500000000000107E-2</v>
      </c>
      <c r="F211" s="20">
        <f t="shared" si="14"/>
        <v>0.15000000000000036</v>
      </c>
      <c r="G211" s="21">
        <f t="shared" si="15"/>
        <v>234</v>
      </c>
    </row>
    <row r="212" spans="1:7" x14ac:dyDescent="0.25">
      <c r="A212" s="4">
        <v>207</v>
      </c>
      <c r="B212" s="4">
        <v>6</v>
      </c>
      <c r="C212" s="4">
        <v>4</v>
      </c>
      <c r="D212" s="20">
        <f t="shared" si="12"/>
        <v>4.8499999999999996</v>
      </c>
      <c r="E212" s="20">
        <f t="shared" si="13"/>
        <v>0.72249999999999936</v>
      </c>
      <c r="F212" s="20">
        <f t="shared" si="14"/>
        <v>0.84999999999999964</v>
      </c>
      <c r="G212" s="21">
        <f t="shared" si="15"/>
        <v>112.5</v>
      </c>
    </row>
    <row r="213" spans="1:7" x14ac:dyDescent="0.25">
      <c r="A213" s="4">
        <v>227</v>
      </c>
      <c r="B213" s="4">
        <v>6</v>
      </c>
      <c r="C213" s="4">
        <v>6</v>
      </c>
      <c r="D213" s="20">
        <f t="shared" si="12"/>
        <v>4.8499999999999996</v>
      </c>
      <c r="E213" s="20">
        <f t="shared" si="13"/>
        <v>1.3225000000000009</v>
      </c>
      <c r="F213" s="20">
        <f t="shared" si="14"/>
        <v>1.1500000000000004</v>
      </c>
      <c r="G213" s="21">
        <f t="shared" si="15"/>
        <v>328</v>
      </c>
    </row>
    <row r="214" spans="1:7" x14ac:dyDescent="0.25">
      <c r="A214" s="4">
        <v>229</v>
      </c>
      <c r="B214" s="4">
        <v>6</v>
      </c>
      <c r="C214" s="4">
        <v>6</v>
      </c>
      <c r="D214" s="20">
        <f t="shared" si="12"/>
        <v>4.8499999999999996</v>
      </c>
      <c r="E214" s="20">
        <f t="shared" si="13"/>
        <v>1.3225000000000009</v>
      </c>
      <c r="F214" s="20">
        <f t="shared" si="14"/>
        <v>1.1500000000000004</v>
      </c>
      <c r="G214" s="21">
        <f t="shared" si="15"/>
        <v>328</v>
      </c>
    </row>
    <row r="215" spans="1:7" x14ac:dyDescent="0.25">
      <c r="A215" s="4">
        <v>235</v>
      </c>
      <c r="B215" s="4">
        <v>6</v>
      </c>
      <c r="C215" s="4">
        <v>4</v>
      </c>
      <c r="D215" s="20">
        <f t="shared" si="12"/>
        <v>4.8499999999999996</v>
      </c>
      <c r="E215" s="20">
        <f t="shared" si="13"/>
        <v>0.72249999999999936</v>
      </c>
      <c r="F215" s="20">
        <f t="shared" si="14"/>
        <v>0.84999999999999964</v>
      </c>
      <c r="G215" s="21">
        <f t="shared" si="15"/>
        <v>112.5</v>
      </c>
    </row>
    <row r="216" spans="1:7" x14ac:dyDescent="0.25">
      <c r="A216" s="4">
        <v>243</v>
      </c>
      <c r="B216" s="4">
        <v>6</v>
      </c>
      <c r="C216" s="4">
        <v>5</v>
      </c>
      <c r="D216" s="20">
        <f t="shared" si="12"/>
        <v>4.8499999999999996</v>
      </c>
      <c r="E216" s="20">
        <f t="shared" si="13"/>
        <v>2.2500000000000107E-2</v>
      </c>
      <c r="F216" s="20">
        <f t="shared" si="14"/>
        <v>0.15000000000000036</v>
      </c>
      <c r="G216" s="21">
        <f t="shared" si="15"/>
        <v>234</v>
      </c>
    </row>
    <row r="217" spans="1:7" x14ac:dyDescent="0.25">
      <c r="A217" s="4">
        <v>248</v>
      </c>
      <c r="B217" s="4">
        <v>6</v>
      </c>
      <c r="C217" s="4">
        <v>3</v>
      </c>
      <c r="D217" s="20">
        <f t="shared" si="12"/>
        <v>4.8499999999999996</v>
      </c>
      <c r="E217" s="20">
        <f t="shared" si="13"/>
        <v>3.4224999999999985</v>
      </c>
      <c r="F217" s="20">
        <f t="shared" si="14"/>
        <v>1.8499999999999996</v>
      </c>
      <c r="G217" s="21">
        <f t="shared" si="15"/>
        <v>19.5</v>
      </c>
    </row>
    <row r="218" spans="1:7" x14ac:dyDescent="0.25">
      <c r="A218" s="4">
        <v>259</v>
      </c>
      <c r="B218" s="4">
        <v>6</v>
      </c>
      <c r="C218" s="4">
        <v>5</v>
      </c>
      <c r="D218" s="20">
        <f t="shared" si="12"/>
        <v>4.8499999999999996</v>
      </c>
      <c r="E218" s="20">
        <f t="shared" si="13"/>
        <v>2.2500000000000107E-2</v>
      </c>
      <c r="F218" s="20">
        <f t="shared" si="14"/>
        <v>0.15000000000000036</v>
      </c>
      <c r="G218" s="21">
        <f t="shared" si="15"/>
        <v>234</v>
      </c>
    </row>
    <row r="219" spans="1:7" x14ac:dyDescent="0.25">
      <c r="A219" s="4">
        <v>260</v>
      </c>
      <c r="B219" s="4">
        <v>6</v>
      </c>
      <c r="C219" s="4">
        <v>6</v>
      </c>
      <c r="D219" s="20">
        <f t="shared" si="12"/>
        <v>4.8499999999999996</v>
      </c>
      <c r="E219" s="20">
        <f t="shared" si="13"/>
        <v>1.3225000000000009</v>
      </c>
      <c r="F219" s="20">
        <f t="shared" si="14"/>
        <v>1.1500000000000004</v>
      </c>
      <c r="G219" s="21">
        <f t="shared" si="15"/>
        <v>328</v>
      </c>
    </row>
    <row r="220" spans="1:7" x14ac:dyDescent="0.25">
      <c r="A220" s="4">
        <v>268</v>
      </c>
      <c r="B220" s="4">
        <v>6</v>
      </c>
      <c r="C220" s="4">
        <v>3</v>
      </c>
      <c r="D220" s="20">
        <f t="shared" si="12"/>
        <v>4.8499999999999996</v>
      </c>
      <c r="E220" s="20">
        <f t="shared" si="13"/>
        <v>3.4224999999999985</v>
      </c>
      <c r="F220" s="20">
        <f t="shared" si="14"/>
        <v>1.8499999999999996</v>
      </c>
      <c r="G220" s="21">
        <f t="shared" si="15"/>
        <v>19.5</v>
      </c>
    </row>
    <row r="221" spans="1:7" x14ac:dyDescent="0.25">
      <c r="A221" s="4">
        <v>269</v>
      </c>
      <c r="B221" s="4">
        <v>6</v>
      </c>
      <c r="C221" s="4">
        <v>5</v>
      </c>
      <c r="D221" s="20">
        <f t="shared" si="12"/>
        <v>4.8499999999999996</v>
      </c>
      <c r="E221" s="20">
        <f t="shared" si="13"/>
        <v>2.2500000000000107E-2</v>
      </c>
      <c r="F221" s="20">
        <f t="shared" si="14"/>
        <v>0.15000000000000036</v>
      </c>
      <c r="G221" s="21">
        <f t="shared" si="15"/>
        <v>234</v>
      </c>
    </row>
    <row r="222" spans="1:7" x14ac:dyDescent="0.25">
      <c r="A222" s="4">
        <v>270</v>
      </c>
      <c r="B222" s="4">
        <v>6</v>
      </c>
      <c r="C222" s="4">
        <v>4</v>
      </c>
      <c r="D222" s="20">
        <f t="shared" si="12"/>
        <v>4.8499999999999996</v>
      </c>
      <c r="E222" s="20">
        <f t="shared" si="13"/>
        <v>0.72249999999999936</v>
      </c>
      <c r="F222" s="20">
        <f t="shared" si="14"/>
        <v>0.84999999999999964</v>
      </c>
      <c r="G222" s="21">
        <f t="shared" si="15"/>
        <v>112.5</v>
      </c>
    </row>
    <row r="223" spans="1:7" x14ac:dyDescent="0.25">
      <c r="A223" s="4">
        <v>290</v>
      </c>
      <c r="B223" s="4">
        <v>6</v>
      </c>
      <c r="C223" s="4">
        <v>6</v>
      </c>
      <c r="D223" s="20">
        <f t="shared" si="12"/>
        <v>4.8499999999999996</v>
      </c>
      <c r="E223" s="20">
        <f t="shared" si="13"/>
        <v>1.3225000000000009</v>
      </c>
      <c r="F223" s="20">
        <f t="shared" si="14"/>
        <v>1.1500000000000004</v>
      </c>
      <c r="G223" s="21">
        <f t="shared" si="15"/>
        <v>328</v>
      </c>
    </row>
    <row r="224" spans="1:7" x14ac:dyDescent="0.25">
      <c r="A224" s="4">
        <v>292</v>
      </c>
      <c r="B224" s="4">
        <v>6</v>
      </c>
      <c r="C224" s="4">
        <v>6</v>
      </c>
      <c r="D224" s="20">
        <f t="shared" si="12"/>
        <v>4.8499999999999996</v>
      </c>
      <c r="E224" s="20">
        <f t="shared" si="13"/>
        <v>1.3225000000000009</v>
      </c>
      <c r="F224" s="20">
        <f t="shared" si="14"/>
        <v>1.1500000000000004</v>
      </c>
      <c r="G224" s="21">
        <f t="shared" si="15"/>
        <v>328</v>
      </c>
    </row>
    <row r="225" spans="1:7" x14ac:dyDescent="0.25">
      <c r="A225" s="4">
        <v>298</v>
      </c>
      <c r="B225" s="4">
        <v>6</v>
      </c>
      <c r="C225" s="4">
        <v>4</v>
      </c>
      <c r="D225" s="20">
        <f t="shared" si="12"/>
        <v>4.8499999999999996</v>
      </c>
      <c r="E225" s="20">
        <f t="shared" si="13"/>
        <v>0.72249999999999936</v>
      </c>
      <c r="F225" s="20">
        <f t="shared" si="14"/>
        <v>0.84999999999999964</v>
      </c>
      <c r="G225" s="21">
        <f t="shared" si="15"/>
        <v>112.5</v>
      </c>
    </row>
    <row r="226" spans="1:7" x14ac:dyDescent="0.25">
      <c r="A226" s="4">
        <v>306</v>
      </c>
      <c r="B226" s="4">
        <v>6</v>
      </c>
      <c r="C226" s="4">
        <v>5</v>
      </c>
      <c r="D226" s="20">
        <f t="shared" si="12"/>
        <v>4.8499999999999996</v>
      </c>
      <c r="E226" s="20">
        <f t="shared" si="13"/>
        <v>2.2500000000000107E-2</v>
      </c>
      <c r="F226" s="20">
        <f t="shared" si="14"/>
        <v>0.15000000000000036</v>
      </c>
      <c r="G226" s="21">
        <f t="shared" si="15"/>
        <v>234</v>
      </c>
    </row>
    <row r="227" spans="1:7" x14ac:dyDescent="0.25">
      <c r="A227" s="4">
        <v>311</v>
      </c>
      <c r="B227" s="4">
        <v>6</v>
      </c>
      <c r="C227" s="4">
        <v>3</v>
      </c>
      <c r="D227" s="20">
        <f t="shared" si="12"/>
        <v>4.8499999999999996</v>
      </c>
      <c r="E227" s="20">
        <f t="shared" si="13"/>
        <v>3.4224999999999985</v>
      </c>
      <c r="F227" s="20">
        <f t="shared" si="14"/>
        <v>1.8499999999999996</v>
      </c>
      <c r="G227" s="21">
        <f t="shared" si="15"/>
        <v>19.5</v>
      </c>
    </row>
    <row r="228" spans="1:7" x14ac:dyDescent="0.25">
      <c r="A228" s="4">
        <v>323</v>
      </c>
      <c r="B228" s="4">
        <v>6</v>
      </c>
      <c r="C228" s="4">
        <v>5</v>
      </c>
      <c r="D228" s="20">
        <f t="shared" si="12"/>
        <v>4.8499999999999996</v>
      </c>
      <c r="E228" s="20">
        <f t="shared" si="13"/>
        <v>2.2500000000000107E-2</v>
      </c>
      <c r="F228" s="20">
        <f t="shared" si="14"/>
        <v>0.15000000000000036</v>
      </c>
      <c r="G228" s="21">
        <f t="shared" si="15"/>
        <v>234</v>
      </c>
    </row>
    <row r="229" spans="1:7" x14ac:dyDescent="0.25">
      <c r="A229" s="4">
        <v>324</v>
      </c>
      <c r="B229" s="4">
        <v>6</v>
      </c>
      <c r="C229" s="4">
        <v>6</v>
      </c>
      <c r="D229" s="20">
        <f t="shared" si="12"/>
        <v>4.8499999999999996</v>
      </c>
      <c r="E229" s="20">
        <f t="shared" si="13"/>
        <v>1.3225000000000009</v>
      </c>
      <c r="F229" s="20">
        <f t="shared" si="14"/>
        <v>1.1500000000000004</v>
      </c>
      <c r="G229" s="21">
        <f t="shared" si="15"/>
        <v>328</v>
      </c>
    </row>
    <row r="230" spans="1:7" x14ac:dyDescent="0.25">
      <c r="A230" s="4">
        <v>332</v>
      </c>
      <c r="B230" s="4">
        <v>6</v>
      </c>
      <c r="C230" s="4">
        <v>3</v>
      </c>
      <c r="D230" s="20">
        <f t="shared" si="12"/>
        <v>4.8499999999999996</v>
      </c>
      <c r="E230" s="20">
        <f t="shared" si="13"/>
        <v>3.4224999999999985</v>
      </c>
      <c r="F230" s="20">
        <f t="shared" si="14"/>
        <v>1.8499999999999996</v>
      </c>
      <c r="G230" s="21">
        <f t="shared" si="15"/>
        <v>19.5</v>
      </c>
    </row>
    <row r="231" spans="1:7" x14ac:dyDescent="0.25">
      <c r="A231" s="4">
        <v>333</v>
      </c>
      <c r="B231" s="4">
        <v>6</v>
      </c>
      <c r="C231" s="4">
        <v>5</v>
      </c>
      <c r="D231" s="20">
        <f t="shared" si="12"/>
        <v>4.8499999999999996</v>
      </c>
      <c r="E231" s="20">
        <f t="shared" si="13"/>
        <v>2.2500000000000107E-2</v>
      </c>
      <c r="F231" s="20">
        <f t="shared" si="14"/>
        <v>0.15000000000000036</v>
      </c>
      <c r="G231" s="21">
        <f t="shared" si="15"/>
        <v>234</v>
      </c>
    </row>
    <row r="232" spans="1:7" x14ac:dyDescent="0.25">
      <c r="A232" s="4">
        <v>334</v>
      </c>
      <c r="B232" s="4">
        <v>6</v>
      </c>
      <c r="C232" s="4">
        <v>4</v>
      </c>
      <c r="D232" s="20">
        <f t="shared" si="12"/>
        <v>4.8499999999999996</v>
      </c>
      <c r="E232" s="20">
        <f t="shared" si="13"/>
        <v>0.72249999999999936</v>
      </c>
      <c r="F232" s="20">
        <f t="shared" si="14"/>
        <v>0.84999999999999964</v>
      </c>
      <c r="G232" s="21">
        <f t="shared" si="15"/>
        <v>112.5</v>
      </c>
    </row>
    <row r="233" spans="1:7" x14ac:dyDescent="0.25">
      <c r="A233" s="4">
        <v>354</v>
      </c>
      <c r="B233" s="4">
        <v>6</v>
      </c>
      <c r="C233" s="4">
        <v>6</v>
      </c>
      <c r="D233" s="20">
        <f t="shared" si="12"/>
        <v>4.8499999999999996</v>
      </c>
      <c r="E233" s="20">
        <f t="shared" si="13"/>
        <v>1.3225000000000009</v>
      </c>
      <c r="F233" s="20">
        <f t="shared" si="14"/>
        <v>1.1500000000000004</v>
      </c>
      <c r="G233" s="21">
        <f t="shared" si="15"/>
        <v>328</v>
      </c>
    </row>
    <row r="234" spans="1:7" x14ac:dyDescent="0.25">
      <c r="A234" s="4">
        <v>356</v>
      </c>
      <c r="B234" s="4">
        <v>6</v>
      </c>
      <c r="C234" s="4">
        <v>6</v>
      </c>
      <c r="D234" s="20">
        <f t="shared" si="12"/>
        <v>4.8499999999999996</v>
      </c>
      <c r="E234" s="20">
        <f t="shared" si="13"/>
        <v>1.3225000000000009</v>
      </c>
      <c r="F234" s="20">
        <f t="shared" si="14"/>
        <v>1.1500000000000004</v>
      </c>
      <c r="G234" s="21">
        <f t="shared" si="15"/>
        <v>328</v>
      </c>
    </row>
    <row r="235" spans="1:7" x14ac:dyDescent="0.25">
      <c r="A235" s="4">
        <v>361</v>
      </c>
      <c r="B235" s="4">
        <v>6</v>
      </c>
      <c r="C235" s="4">
        <v>4</v>
      </c>
      <c r="D235" s="20">
        <f t="shared" si="12"/>
        <v>4.8499999999999996</v>
      </c>
      <c r="E235" s="20">
        <f t="shared" si="13"/>
        <v>0.72249999999999936</v>
      </c>
      <c r="F235" s="20">
        <f t="shared" si="14"/>
        <v>0.84999999999999964</v>
      </c>
      <c r="G235" s="21">
        <f t="shared" si="15"/>
        <v>112.5</v>
      </c>
    </row>
    <row r="236" spans="1:7" x14ac:dyDescent="0.25">
      <c r="A236" s="4">
        <v>369</v>
      </c>
      <c r="B236" s="4">
        <v>6</v>
      </c>
      <c r="C236" s="4">
        <v>5</v>
      </c>
      <c r="D236" s="20">
        <f t="shared" si="12"/>
        <v>4.8499999999999996</v>
      </c>
      <c r="E236" s="20">
        <f t="shared" si="13"/>
        <v>2.2500000000000107E-2</v>
      </c>
      <c r="F236" s="20">
        <f t="shared" si="14"/>
        <v>0.15000000000000036</v>
      </c>
      <c r="G236" s="21">
        <f t="shared" si="15"/>
        <v>234</v>
      </c>
    </row>
    <row r="237" spans="1:7" x14ac:dyDescent="0.25">
      <c r="A237" s="4">
        <v>374</v>
      </c>
      <c r="B237" s="4">
        <v>6</v>
      </c>
      <c r="C237" s="4">
        <v>3</v>
      </c>
      <c r="D237" s="20">
        <f t="shared" si="12"/>
        <v>4.8499999999999996</v>
      </c>
      <c r="E237" s="20">
        <f t="shared" si="13"/>
        <v>3.4224999999999985</v>
      </c>
      <c r="F237" s="20">
        <f t="shared" si="14"/>
        <v>1.8499999999999996</v>
      </c>
      <c r="G237" s="21">
        <f t="shared" si="15"/>
        <v>19.5</v>
      </c>
    </row>
    <row r="238" spans="1:7" x14ac:dyDescent="0.25">
      <c r="A238" s="4">
        <v>385</v>
      </c>
      <c r="B238" s="4">
        <v>6</v>
      </c>
      <c r="C238" s="4">
        <v>5</v>
      </c>
      <c r="D238" s="20">
        <f t="shared" si="12"/>
        <v>4.8499999999999996</v>
      </c>
      <c r="E238" s="20">
        <f t="shared" si="13"/>
        <v>2.2500000000000107E-2</v>
      </c>
      <c r="F238" s="20">
        <f t="shared" si="14"/>
        <v>0.15000000000000036</v>
      </c>
      <c r="G238" s="21">
        <f t="shared" si="15"/>
        <v>234</v>
      </c>
    </row>
    <row r="239" spans="1:7" x14ac:dyDescent="0.25">
      <c r="A239" s="4">
        <v>386</v>
      </c>
      <c r="B239" s="4">
        <v>6</v>
      </c>
      <c r="C239" s="4">
        <v>7</v>
      </c>
      <c r="D239" s="20">
        <f t="shared" si="12"/>
        <v>4.8499999999999996</v>
      </c>
      <c r="E239" s="20">
        <f t="shared" si="13"/>
        <v>4.6225000000000014</v>
      </c>
      <c r="F239" s="20">
        <f t="shared" si="14"/>
        <v>2.1500000000000004</v>
      </c>
      <c r="G239" s="21">
        <f t="shared" si="15"/>
        <v>390</v>
      </c>
    </row>
    <row r="240" spans="1:7" x14ac:dyDescent="0.25">
      <c r="A240" s="4">
        <v>1</v>
      </c>
      <c r="B240" s="4">
        <v>7</v>
      </c>
      <c r="C240" s="4">
        <v>4</v>
      </c>
      <c r="D240" s="20">
        <f t="shared" si="12"/>
        <v>5.5149700598802394</v>
      </c>
      <c r="E240" s="20">
        <f t="shared" si="13"/>
        <v>2.2951342823335361</v>
      </c>
      <c r="F240" s="20">
        <f t="shared" si="14"/>
        <v>1.5149700598802394</v>
      </c>
      <c r="G240" s="21">
        <f t="shared" si="15"/>
        <v>112.5</v>
      </c>
    </row>
    <row r="241" spans="1:7" x14ac:dyDescent="0.25">
      <c r="A241" s="4">
        <v>2</v>
      </c>
      <c r="B241" s="4">
        <v>7</v>
      </c>
      <c r="C241" s="4">
        <v>4</v>
      </c>
      <c r="D241" s="20">
        <f t="shared" si="12"/>
        <v>5.5149700598802394</v>
      </c>
      <c r="E241" s="20">
        <f t="shared" si="13"/>
        <v>2.2951342823335361</v>
      </c>
      <c r="F241" s="20">
        <f t="shared" si="14"/>
        <v>1.5149700598802394</v>
      </c>
      <c r="G241" s="21">
        <f t="shared" si="15"/>
        <v>112.5</v>
      </c>
    </row>
    <row r="242" spans="1:7" x14ac:dyDescent="0.25">
      <c r="A242" s="4">
        <v>9</v>
      </c>
      <c r="B242" s="4">
        <v>7</v>
      </c>
      <c r="C242" s="4">
        <v>7</v>
      </c>
      <c r="D242" s="20">
        <f t="shared" si="12"/>
        <v>5.5149700598802394</v>
      </c>
      <c r="E242" s="20">
        <f t="shared" si="13"/>
        <v>2.2053139230520999</v>
      </c>
      <c r="F242" s="20">
        <f t="shared" si="14"/>
        <v>1.4850299401197606</v>
      </c>
      <c r="G242" s="21">
        <f t="shared" si="15"/>
        <v>390</v>
      </c>
    </row>
    <row r="243" spans="1:7" x14ac:dyDescent="0.25">
      <c r="A243" s="4">
        <v>10</v>
      </c>
      <c r="B243" s="4">
        <v>7</v>
      </c>
      <c r="C243" s="4">
        <v>6</v>
      </c>
      <c r="D243" s="20">
        <f t="shared" si="12"/>
        <v>5.5149700598802394</v>
      </c>
      <c r="E243" s="20">
        <f t="shared" si="13"/>
        <v>0.23525404281257858</v>
      </c>
      <c r="F243" s="20">
        <f t="shared" si="14"/>
        <v>0.48502994011976064</v>
      </c>
      <c r="G243" s="21">
        <f t="shared" si="15"/>
        <v>328</v>
      </c>
    </row>
    <row r="244" spans="1:7" x14ac:dyDescent="0.25">
      <c r="A244" s="4">
        <v>14</v>
      </c>
      <c r="B244" s="4">
        <v>7</v>
      </c>
      <c r="C244" s="4">
        <v>6</v>
      </c>
      <c r="D244" s="20">
        <f t="shared" si="12"/>
        <v>5.5149700598802394</v>
      </c>
      <c r="E244" s="20">
        <f t="shared" si="13"/>
        <v>0.23525404281257858</v>
      </c>
      <c r="F244" s="20">
        <f t="shared" si="14"/>
        <v>0.48502994011976064</v>
      </c>
      <c r="G244" s="21">
        <f t="shared" si="15"/>
        <v>328</v>
      </c>
    </row>
    <row r="245" spans="1:7" x14ac:dyDescent="0.25">
      <c r="A245" s="4">
        <v>20</v>
      </c>
      <c r="B245" s="4">
        <v>7</v>
      </c>
      <c r="C245" s="4">
        <v>4</v>
      </c>
      <c r="D245" s="20">
        <f t="shared" si="12"/>
        <v>5.5149700598802394</v>
      </c>
      <c r="E245" s="20">
        <f t="shared" si="13"/>
        <v>2.2951342823335361</v>
      </c>
      <c r="F245" s="20">
        <f t="shared" si="14"/>
        <v>1.5149700598802394</v>
      </c>
      <c r="G245" s="21">
        <f t="shared" si="15"/>
        <v>112.5</v>
      </c>
    </row>
    <row r="246" spans="1:7" x14ac:dyDescent="0.25">
      <c r="A246" s="4">
        <v>26</v>
      </c>
      <c r="B246" s="4">
        <v>7</v>
      </c>
      <c r="C246" s="4">
        <v>7</v>
      </c>
      <c r="D246" s="20">
        <f t="shared" si="12"/>
        <v>5.5149700598802394</v>
      </c>
      <c r="E246" s="20">
        <f t="shared" si="13"/>
        <v>2.2053139230520999</v>
      </c>
      <c r="F246" s="20">
        <f t="shared" si="14"/>
        <v>1.4850299401197606</v>
      </c>
      <c r="G246" s="21">
        <f t="shared" si="15"/>
        <v>390</v>
      </c>
    </row>
    <row r="247" spans="1:7" x14ac:dyDescent="0.25">
      <c r="A247" s="4">
        <v>28</v>
      </c>
      <c r="B247" s="4">
        <v>7</v>
      </c>
      <c r="C247" s="4">
        <v>7</v>
      </c>
      <c r="D247" s="20">
        <f t="shared" si="12"/>
        <v>5.5149700598802394</v>
      </c>
      <c r="E247" s="20">
        <f t="shared" si="13"/>
        <v>2.2053139230520999</v>
      </c>
      <c r="F247" s="20">
        <f t="shared" si="14"/>
        <v>1.4850299401197606</v>
      </c>
      <c r="G247" s="21">
        <f t="shared" si="15"/>
        <v>390</v>
      </c>
    </row>
    <row r="248" spans="1:7" x14ac:dyDescent="0.25">
      <c r="A248" s="4">
        <v>31</v>
      </c>
      <c r="B248" s="4">
        <v>7</v>
      </c>
      <c r="C248" s="4">
        <v>6</v>
      </c>
      <c r="D248" s="20">
        <f t="shared" si="12"/>
        <v>5.5149700598802394</v>
      </c>
      <c r="E248" s="20">
        <f t="shared" si="13"/>
        <v>0.23525404281257858</v>
      </c>
      <c r="F248" s="20">
        <f t="shared" si="14"/>
        <v>0.48502994011976064</v>
      </c>
      <c r="G248" s="21">
        <f t="shared" si="15"/>
        <v>328</v>
      </c>
    </row>
    <row r="249" spans="1:7" x14ac:dyDescent="0.25">
      <c r="A249" s="4">
        <v>32</v>
      </c>
      <c r="B249" s="4">
        <v>7</v>
      </c>
      <c r="C249" s="4">
        <v>7</v>
      </c>
      <c r="D249" s="20">
        <f t="shared" si="12"/>
        <v>5.5149700598802394</v>
      </c>
      <c r="E249" s="20">
        <f t="shared" si="13"/>
        <v>2.2053139230520999</v>
      </c>
      <c r="F249" s="20">
        <f t="shared" si="14"/>
        <v>1.4850299401197606</v>
      </c>
      <c r="G249" s="21">
        <f t="shared" si="15"/>
        <v>390</v>
      </c>
    </row>
    <row r="250" spans="1:7" x14ac:dyDescent="0.25">
      <c r="A250" s="4">
        <v>33</v>
      </c>
      <c r="B250" s="4">
        <v>7</v>
      </c>
      <c r="C250" s="4">
        <v>5</v>
      </c>
      <c r="D250" s="20">
        <f t="shared" si="12"/>
        <v>5.5149700598802394</v>
      </c>
      <c r="E250" s="20">
        <f t="shared" si="13"/>
        <v>0.26519416257305733</v>
      </c>
      <c r="F250" s="20">
        <f t="shared" si="14"/>
        <v>0.51497005988023936</v>
      </c>
      <c r="G250" s="21">
        <f t="shared" si="15"/>
        <v>234</v>
      </c>
    </row>
    <row r="251" spans="1:7" x14ac:dyDescent="0.25">
      <c r="A251" s="4">
        <v>34</v>
      </c>
      <c r="B251" s="4">
        <v>7</v>
      </c>
      <c r="C251" s="4">
        <v>6</v>
      </c>
      <c r="D251" s="20">
        <f t="shared" si="12"/>
        <v>5.5149700598802394</v>
      </c>
      <c r="E251" s="20">
        <f t="shared" si="13"/>
        <v>0.23525404281257858</v>
      </c>
      <c r="F251" s="20">
        <f t="shared" si="14"/>
        <v>0.48502994011976064</v>
      </c>
      <c r="G251" s="21">
        <f t="shared" si="15"/>
        <v>328</v>
      </c>
    </row>
    <row r="252" spans="1:7" x14ac:dyDescent="0.25">
      <c r="A252" s="4">
        <v>36</v>
      </c>
      <c r="B252" s="4">
        <v>7</v>
      </c>
      <c r="C252" s="4">
        <v>5</v>
      </c>
      <c r="D252" s="20">
        <f t="shared" si="12"/>
        <v>5.5149700598802394</v>
      </c>
      <c r="E252" s="20">
        <f t="shared" si="13"/>
        <v>0.26519416257305733</v>
      </c>
      <c r="F252" s="20">
        <f t="shared" si="14"/>
        <v>0.51497005988023936</v>
      </c>
      <c r="G252" s="21">
        <f t="shared" si="15"/>
        <v>234</v>
      </c>
    </row>
    <row r="253" spans="1:7" x14ac:dyDescent="0.25">
      <c r="A253" s="4">
        <v>37</v>
      </c>
      <c r="B253" s="4">
        <v>7</v>
      </c>
      <c r="C253" s="4">
        <v>7</v>
      </c>
      <c r="D253" s="20">
        <f t="shared" si="12"/>
        <v>5.5149700598802394</v>
      </c>
      <c r="E253" s="20">
        <f t="shared" si="13"/>
        <v>2.2053139230520999</v>
      </c>
      <c r="F253" s="20">
        <f t="shared" si="14"/>
        <v>1.4850299401197606</v>
      </c>
      <c r="G253" s="21">
        <f t="shared" si="15"/>
        <v>390</v>
      </c>
    </row>
    <row r="254" spans="1:7" x14ac:dyDescent="0.25">
      <c r="A254" s="4">
        <v>38</v>
      </c>
      <c r="B254" s="4">
        <v>7</v>
      </c>
      <c r="C254" s="4">
        <v>5</v>
      </c>
      <c r="D254" s="20">
        <f t="shared" si="12"/>
        <v>5.5149700598802394</v>
      </c>
      <c r="E254" s="20">
        <f t="shared" si="13"/>
        <v>0.26519416257305733</v>
      </c>
      <c r="F254" s="20">
        <f t="shared" si="14"/>
        <v>0.51497005988023936</v>
      </c>
      <c r="G254" s="21">
        <f t="shared" si="15"/>
        <v>234</v>
      </c>
    </row>
    <row r="255" spans="1:7" x14ac:dyDescent="0.25">
      <c r="A255" s="4">
        <v>39</v>
      </c>
      <c r="B255" s="4">
        <v>7</v>
      </c>
      <c r="C255" s="4">
        <v>6</v>
      </c>
      <c r="D255" s="20">
        <f t="shared" si="12"/>
        <v>5.5149700598802394</v>
      </c>
      <c r="E255" s="20">
        <f t="shared" si="13"/>
        <v>0.23525404281257858</v>
      </c>
      <c r="F255" s="20">
        <f t="shared" si="14"/>
        <v>0.48502994011976064</v>
      </c>
      <c r="G255" s="21">
        <f t="shared" si="15"/>
        <v>328</v>
      </c>
    </row>
    <row r="256" spans="1:7" x14ac:dyDescent="0.25">
      <c r="A256" s="4">
        <v>40</v>
      </c>
      <c r="B256" s="4">
        <v>7</v>
      </c>
      <c r="C256" s="4">
        <v>6</v>
      </c>
      <c r="D256" s="20">
        <f t="shared" si="12"/>
        <v>5.5149700598802394</v>
      </c>
      <c r="E256" s="20">
        <f t="shared" si="13"/>
        <v>0.23525404281257858</v>
      </c>
      <c r="F256" s="20">
        <f t="shared" si="14"/>
        <v>0.48502994011976064</v>
      </c>
      <c r="G256" s="21">
        <f t="shared" si="15"/>
        <v>328</v>
      </c>
    </row>
    <row r="257" spans="1:7" x14ac:dyDescent="0.25">
      <c r="A257" s="4">
        <v>41</v>
      </c>
      <c r="B257" s="4">
        <v>7</v>
      </c>
      <c r="C257" s="4">
        <v>4</v>
      </c>
      <c r="D257" s="20">
        <f t="shared" si="12"/>
        <v>5.5149700598802394</v>
      </c>
      <c r="E257" s="20">
        <f t="shared" si="13"/>
        <v>2.2951342823335361</v>
      </c>
      <c r="F257" s="20">
        <f t="shared" si="14"/>
        <v>1.5149700598802394</v>
      </c>
      <c r="G257" s="21">
        <f t="shared" si="15"/>
        <v>112.5</v>
      </c>
    </row>
    <row r="258" spans="1:7" x14ac:dyDescent="0.25">
      <c r="A258" s="4">
        <v>42</v>
      </c>
      <c r="B258" s="4">
        <v>7</v>
      </c>
      <c r="C258" s="4">
        <v>7</v>
      </c>
      <c r="D258" s="20">
        <f t="shared" ref="D258:D321" si="16">AVERAGEIF($B$2:$B$406,B258,$C$2:$C$406)</f>
        <v>5.5149700598802394</v>
      </c>
      <c r="E258" s="20">
        <f t="shared" ref="E258:E321" si="17">(C258-D258)^2</f>
        <v>2.2053139230520999</v>
      </c>
      <c r="F258" s="20">
        <f t="shared" ref="F258:F321" si="18">ABS(C258-D258)</f>
        <v>1.4850299401197606</v>
      </c>
      <c r="G258" s="21">
        <f t="shared" ref="G258:G321" si="19">_xlfn.RANK.AVG(C258,$C$2:$C$406,1)</f>
        <v>390</v>
      </c>
    </row>
    <row r="259" spans="1:7" x14ac:dyDescent="0.25">
      <c r="A259" s="4">
        <v>44</v>
      </c>
      <c r="B259" s="4">
        <v>7</v>
      </c>
      <c r="C259" s="4">
        <v>5</v>
      </c>
      <c r="D259" s="20">
        <f t="shared" si="16"/>
        <v>5.5149700598802394</v>
      </c>
      <c r="E259" s="20">
        <f t="shared" si="17"/>
        <v>0.26519416257305733</v>
      </c>
      <c r="F259" s="20">
        <f t="shared" si="18"/>
        <v>0.51497005988023936</v>
      </c>
      <c r="G259" s="21">
        <f t="shared" si="19"/>
        <v>234</v>
      </c>
    </row>
    <row r="260" spans="1:7" x14ac:dyDescent="0.25">
      <c r="A260" s="4">
        <v>49</v>
      </c>
      <c r="B260" s="4">
        <v>7</v>
      </c>
      <c r="C260" s="4">
        <v>7</v>
      </c>
      <c r="D260" s="20">
        <f t="shared" si="16"/>
        <v>5.5149700598802394</v>
      </c>
      <c r="E260" s="20">
        <f t="shared" si="17"/>
        <v>2.2053139230520999</v>
      </c>
      <c r="F260" s="20">
        <f t="shared" si="18"/>
        <v>1.4850299401197606</v>
      </c>
      <c r="G260" s="21">
        <f t="shared" si="19"/>
        <v>390</v>
      </c>
    </row>
    <row r="261" spans="1:7" x14ac:dyDescent="0.25">
      <c r="A261" s="4">
        <v>53</v>
      </c>
      <c r="B261" s="4">
        <v>7</v>
      </c>
      <c r="C261" s="4">
        <v>6</v>
      </c>
      <c r="D261" s="20">
        <f t="shared" si="16"/>
        <v>5.5149700598802394</v>
      </c>
      <c r="E261" s="20">
        <f t="shared" si="17"/>
        <v>0.23525404281257858</v>
      </c>
      <c r="F261" s="20">
        <f t="shared" si="18"/>
        <v>0.48502994011976064</v>
      </c>
      <c r="G261" s="21">
        <f t="shared" si="19"/>
        <v>328</v>
      </c>
    </row>
    <row r="262" spans="1:7" x14ac:dyDescent="0.25">
      <c r="A262" s="4">
        <v>55</v>
      </c>
      <c r="B262" s="4">
        <v>7</v>
      </c>
      <c r="C262" s="4">
        <v>4</v>
      </c>
      <c r="D262" s="20">
        <f t="shared" si="16"/>
        <v>5.5149700598802394</v>
      </c>
      <c r="E262" s="20">
        <f t="shared" si="17"/>
        <v>2.2951342823335361</v>
      </c>
      <c r="F262" s="20">
        <f t="shared" si="18"/>
        <v>1.5149700598802394</v>
      </c>
      <c r="G262" s="21">
        <f t="shared" si="19"/>
        <v>112.5</v>
      </c>
    </row>
    <row r="263" spans="1:7" x14ac:dyDescent="0.25">
      <c r="A263" s="4">
        <v>61</v>
      </c>
      <c r="B263" s="4">
        <v>7</v>
      </c>
      <c r="C263" s="4">
        <v>6</v>
      </c>
      <c r="D263" s="20">
        <f t="shared" si="16"/>
        <v>5.5149700598802394</v>
      </c>
      <c r="E263" s="20">
        <f t="shared" si="17"/>
        <v>0.23525404281257858</v>
      </c>
      <c r="F263" s="20">
        <f t="shared" si="18"/>
        <v>0.48502994011976064</v>
      </c>
      <c r="G263" s="21">
        <f t="shared" si="19"/>
        <v>328</v>
      </c>
    </row>
    <row r="264" spans="1:7" x14ac:dyDescent="0.25">
      <c r="A264" s="4">
        <v>62</v>
      </c>
      <c r="B264" s="4">
        <v>7</v>
      </c>
      <c r="C264" s="4">
        <v>6</v>
      </c>
      <c r="D264" s="20">
        <f t="shared" si="16"/>
        <v>5.5149700598802394</v>
      </c>
      <c r="E264" s="20">
        <f t="shared" si="17"/>
        <v>0.23525404281257858</v>
      </c>
      <c r="F264" s="20">
        <f t="shared" si="18"/>
        <v>0.48502994011976064</v>
      </c>
      <c r="G264" s="21">
        <f t="shared" si="19"/>
        <v>328</v>
      </c>
    </row>
    <row r="265" spans="1:7" x14ac:dyDescent="0.25">
      <c r="A265" s="4">
        <v>63</v>
      </c>
      <c r="B265" s="4">
        <v>7</v>
      </c>
      <c r="C265" s="4">
        <v>6</v>
      </c>
      <c r="D265" s="20">
        <f t="shared" si="16"/>
        <v>5.5149700598802394</v>
      </c>
      <c r="E265" s="20">
        <f t="shared" si="17"/>
        <v>0.23525404281257858</v>
      </c>
      <c r="F265" s="20">
        <f t="shared" si="18"/>
        <v>0.48502994011976064</v>
      </c>
      <c r="G265" s="21">
        <f t="shared" si="19"/>
        <v>328</v>
      </c>
    </row>
    <row r="266" spans="1:7" x14ac:dyDescent="0.25">
      <c r="A266" s="4">
        <v>64</v>
      </c>
      <c r="B266" s="4">
        <v>7</v>
      </c>
      <c r="C266" s="4">
        <v>4</v>
      </c>
      <c r="D266" s="20">
        <f t="shared" si="16"/>
        <v>5.5149700598802394</v>
      </c>
      <c r="E266" s="20">
        <f t="shared" si="17"/>
        <v>2.2951342823335361</v>
      </c>
      <c r="F266" s="20">
        <f t="shared" si="18"/>
        <v>1.5149700598802394</v>
      </c>
      <c r="G266" s="21">
        <f t="shared" si="19"/>
        <v>112.5</v>
      </c>
    </row>
    <row r="267" spans="1:7" x14ac:dyDescent="0.25">
      <c r="A267" s="4">
        <v>65</v>
      </c>
      <c r="B267" s="4">
        <v>7</v>
      </c>
      <c r="C267" s="4">
        <v>4</v>
      </c>
      <c r="D267" s="20">
        <f t="shared" si="16"/>
        <v>5.5149700598802394</v>
      </c>
      <c r="E267" s="20">
        <f t="shared" si="17"/>
        <v>2.2951342823335361</v>
      </c>
      <c r="F267" s="20">
        <f t="shared" si="18"/>
        <v>1.5149700598802394</v>
      </c>
      <c r="G267" s="21">
        <f t="shared" si="19"/>
        <v>112.5</v>
      </c>
    </row>
    <row r="268" spans="1:7" x14ac:dyDescent="0.25">
      <c r="A268" s="4">
        <v>72</v>
      </c>
      <c r="B268" s="4">
        <v>7</v>
      </c>
      <c r="C268" s="4">
        <v>6</v>
      </c>
      <c r="D268" s="20">
        <f t="shared" si="16"/>
        <v>5.5149700598802394</v>
      </c>
      <c r="E268" s="20">
        <f t="shared" si="17"/>
        <v>0.23525404281257858</v>
      </c>
      <c r="F268" s="20">
        <f t="shared" si="18"/>
        <v>0.48502994011976064</v>
      </c>
      <c r="G268" s="21">
        <f t="shared" si="19"/>
        <v>328</v>
      </c>
    </row>
    <row r="269" spans="1:7" x14ac:dyDescent="0.25">
      <c r="A269" s="4">
        <v>73</v>
      </c>
      <c r="B269" s="4">
        <v>7</v>
      </c>
      <c r="C269" s="4">
        <v>5</v>
      </c>
      <c r="D269" s="20">
        <f t="shared" si="16"/>
        <v>5.5149700598802394</v>
      </c>
      <c r="E269" s="20">
        <f t="shared" si="17"/>
        <v>0.26519416257305733</v>
      </c>
      <c r="F269" s="20">
        <f t="shared" si="18"/>
        <v>0.51497005988023936</v>
      </c>
      <c r="G269" s="21">
        <f t="shared" si="19"/>
        <v>234</v>
      </c>
    </row>
    <row r="270" spans="1:7" x14ac:dyDescent="0.25">
      <c r="A270" s="4">
        <v>77</v>
      </c>
      <c r="B270" s="4">
        <v>7</v>
      </c>
      <c r="C270" s="4">
        <v>7</v>
      </c>
      <c r="D270" s="20">
        <f t="shared" si="16"/>
        <v>5.5149700598802394</v>
      </c>
      <c r="E270" s="20">
        <f t="shared" si="17"/>
        <v>2.2053139230520999</v>
      </c>
      <c r="F270" s="20">
        <f t="shared" si="18"/>
        <v>1.4850299401197606</v>
      </c>
      <c r="G270" s="21">
        <f t="shared" si="19"/>
        <v>390</v>
      </c>
    </row>
    <row r="271" spans="1:7" x14ac:dyDescent="0.25">
      <c r="A271" s="4">
        <v>83</v>
      </c>
      <c r="B271" s="4">
        <v>7</v>
      </c>
      <c r="C271" s="4">
        <v>4</v>
      </c>
      <c r="D271" s="20">
        <f t="shared" si="16"/>
        <v>5.5149700598802394</v>
      </c>
      <c r="E271" s="20">
        <f t="shared" si="17"/>
        <v>2.2951342823335361</v>
      </c>
      <c r="F271" s="20">
        <f t="shared" si="18"/>
        <v>1.5149700598802394</v>
      </c>
      <c r="G271" s="21">
        <f t="shared" si="19"/>
        <v>112.5</v>
      </c>
    </row>
    <row r="272" spans="1:7" x14ac:dyDescent="0.25">
      <c r="A272" s="4">
        <v>89</v>
      </c>
      <c r="B272" s="4">
        <v>7</v>
      </c>
      <c r="C272" s="4">
        <v>4</v>
      </c>
      <c r="D272" s="20">
        <f t="shared" si="16"/>
        <v>5.5149700598802394</v>
      </c>
      <c r="E272" s="20">
        <f t="shared" si="17"/>
        <v>2.2951342823335361</v>
      </c>
      <c r="F272" s="20">
        <f t="shared" si="18"/>
        <v>1.5149700598802394</v>
      </c>
      <c r="G272" s="21">
        <f t="shared" si="19"/>
        <v>112.5</v>
      </c>
    </row>
    <row r="273" spans="1:7" x14ac:dyDescent="0.25">
      <c r="A273" s="4">
        <v>91</v>
      </c>
      <c r="B273" s="4">
        <v>7</v>
      </c>
      <c r="C273" s="4">
        <v>7</v>
      </c>
      <c r="D273" s="20">
        <f t="shared" si="16"/>
        <v>5.5149700598802394</v>
      </c>
      <c r="E273" s="20">
        <f t="shared" si="17"/>
        <v>2.2053139230520999</v>
      </c>
      <c r="F273" s="20">
        <f t="shared" si="18"/>
        <v>1.4850299401197606</v>
      </c>
      <c r="G273" s="21">
        <f t="shared" si="19"/>
        <v>390</v>
      </c>
    </row>
    <row r="274" spans="1:7" x14ac:dyDescent="0.25">
      <c r="A274" s="4">
        <v>94</v>
      </c>
      <c r="B274" s="4">
        <v>7</v>
      </c>
      <c r="C274" s="4">
        <v>6</v>
      </c>
      <c r="D274" s="20">
        <f t="shared" si="16"/>
        <v>5.5149700598802394</v>
      </c>
      <c r="E274" s="20">
        <f t="shared" si="17"/>
        <v>0.23525404281257858</v>
      </c>
      <c r="F274" s="20">
        <f t="shared" si="18"/>
        <v>0.48502994011976064</v>
      </c>
      <c r="G274" s="21">
        <f t="shared" si="19"/>
        <v>328</v>
      </c>
    </row>
    <row r="275" spans="1:7" x14ac:dyDescent="0.25">
      <c r="A275" s="4">
        <v>95</v>
      </c>
      <c r="B275" s="4">
        <v>7</v>
      </c>
      <c r="C275" s="4">
        <v>6</v>
      </c>
      <c r="D275" s="20">
        <f t="shared" si="16"/>
        <v>5.5149700598802394</v>
      </c>
      <c r="E275" s="20">
        <f t="shared" si="17"/>
        <v>0.23525404281257858</v>
      </c>
      <c r="F275" s="20">
        <f t="shared" si="18"/>
        <v>0.48502994011976064</v>
      </c>
      <c r="G275" s="21">
        <f t="shared" si="19"/>
        <v>328</v>
      </c>
    </row>
    <row r="276" spans="1:7" x14ac:dyDescent="0.25">
      <c r="A276" s="4">
        <v>96</v>
      </c>
      <c r="B276" s="4">
        <v>7</v>
      </c>
      <c r="C276" s="4">
        <v>7</v>
      </c>
      <c r="D276" s="20">
        <f t="shared" si="16"/>
        <v>5.5149700598802394</v>
      </c>
      <c r="E276" s="20">
        <f t="shared" si="17"/>
        <v>2.2053139230520999</v>
      </c>
      <c r="F276" s="20">
        <f t="shared" si="18"/>
        <v>1.4850299401197606</v>
      </c>
      <c r="G276" s="21">
        <f t="shared" si="19"/>
        <v>390</v>
      </c>
    </row>
    <row r="277" spans="1:7" x14ac:dyDescent="0.25">
      <c r="A277" s="4">
        <v>97</v>
      </c>
      <c r="B277" s="4">
        <v>7</v>
      </c>
      <c r="C277" s="4">
        <v>6</v>
      </c>
      <c r="D277" s="20">
        <f t="shared" si="16"/>
        <v>5.5149700598802394</v>
      </c>
      <c r="E277" s="20">
        <f t="shared" si="17"/>
        <v>0.23525404281257858</v>
      </c>
      <c r="F277" s="20">
        <f t="shared" si="18"/>
        <v>0.48502994011976064</v>
      </c>
      <c r="G277" s="21">
        <f t="shared" si="19"/>
        <v>328</v>
      </c>
    </row>
    <row r="278" spans="1:7" x14ac:dyDescent="0.25">
      <c r="A278" s="4">
        <v>99</v>
      </c>
      <c r="B278" s="4">
        <v>7</v>
      </c>
      <c r="C278" s="4">
        <v>5</v>
      </c>
      <c r="D278" s="20">
        <f t="shared" si="16"/>
        <v>5.5149700598802394</v>
      </c>
      <c r="E278" s="20">
        <f t="shared" si="17"/>
        <v>0.26519416257305733</v>
      </c>
      <c r="F278" s="20">
        <f t="shared" si="18"/>
        <v>0.51497005988023936</v>
      </c>
      <c r="G278" s="21">
        <f t="shared" si="19"/>
        <v>234</v>
      </c>
    </row>
    <row r="279" spans="1:7" x14ac:dyDescent="0.25">
      <c r="A279" s="4">
        <v>100</v>
      </c>
      <c r="B279" s="4">
        <v>7</v>
      </c>
      <c r="C279" s="4">
        <v>7</v>
      </c>
      <c r="D279" s="20">
        <f t="shared" si="16"/>
        <v>5.5149700598802394</v>
      </c>
      <c r="E279" s="20">
        <f t="shared" si="17"/>
        <v>2.2053139230520999</v>
      </c>
      <c r="F279" s="20">
        <f t="shared" si="18"/>
        <v>1.4850299401197606</v>
      </c>
      <c r="G279" s="21">
        <f t="shared" si="19"/>
        <v>390</v>
      </c>
    </row>
    <row r="280" spans="1:7" x14ac:dyDescent="0.25">
      <c r="A280" s="4">
        <v>101</v>
      </c>
      <c r="B280" s="4">
        <v>7</v>
      </c>
      <c r="C280" s="4">
        <v>5</v>
      </c>
      <c r="D280" s="20">
        <f t="shared" si="16"/>
        <v>5.5149700598802394</v>
      </c>
      <c r="E280" s="20">
        <f t="shared" si="17"/>
        <v>0.26519416257305733</v>
      </c>
      <c r="F280" s="20">
        <f t="shared" si="18"/>
        <v>0.51497005988023936</v>
      </c>
      <c r="G280" s="21">
        <f t="shared" si="19"/>
        <v>234</v>
      </c>
    </row>
    <row r="281" spans="1:7" x14ac:dyDescent="0.25">
      <c r="A281" s="4">
        <v>102</v>
      </c>
      <c r="B281" s="4">
        <v>7</v>
      </c>
      <c r="C281" s="4">
        <v>5</v>
      </c>
      <c r="D281" s="20">
        <f t="shared" si="16"/>
        <v>5.5149700598802394</v>
      </c>
      <c r="E281" s="20">
        <f t="shared" si="17"/>
        <v>0.26519416257305733</v>
      </c>
      <c r="F281" s="20">
        <f t="shared" si="18"/>
        <v>0.51497005988023936</v>
      </c>
      <c r="G281" s="21">
        <f t="shared" si="19"/>
        <v>234</v>
      </c>
    </row>
    <row r="282" spans="1:7" x14ac:dyDescent="0.25">
      <c r="A282" s="4">
        <v>103</v>
      </c>
      <c r="B282" s="4">
        <v>7</v>
      </c>
      <c r="C282" s="4">
        <v>6</v>
      </c>
      <c r="D282" s="20">
        <f t="shared" si="16"/>
        <v>5.5149700598802394</v>
      </c>
      <c r="E282" s="20">
        <f t="shared" si="17"/>
        <v>0.23525404281257858</v>
      </c>
      <c r="F282" s="20">
        <f t="shared" si="18"/>
        <v>0.48502994011976064</v>
      </c>
      <c r="G282" s="21">
        <f t="shared" si="19"/>
        <v>328</v>
      </c>
    </row>
    <row r="283" spans="1:7" x14ac:dyDescent="0.25">
      <c r="A283" s="4">
        <v>104</v>
      </c>
      <c r="B283" s="4">
        <v>7</v>
      </c>
      <c r="C283" s="4">
        <v>4</v>
      </c>
      <c r="D283" s="20">
        <f t="shared" si="16"/>
        <v>5.5149700598802394</v>
      </c>
      <c r="E283" s="20">
        <f t="shared" si="17"/>
        <v>2.2951342823335361</v>
      </c>
      <c r="F283" s="20">
        <f t="shared" si="18"/>
        <v>1.5149700598802394</v>
      </c>
      <c r="G283" s="21">
        <f t="shared" si="19"/>
        <v>112.5</v>
      </c>
    </row>
    <row r="284" spans="1:7" x14ac:dyDescent="0.25">
      <c r="A284" s="4">
        <v>105</v>
      </c>
      <c r="B284" s="4">
        <v>7</v>
      </c>
      <c r="C284" s="4">
        <v>5</v>
      </c>
      <c r="D284" s="20">
        <f t="shared" si="16"/>
        <v>5.5149700598802394</v>
      </c>
      <c r="E284" s="20">
        <f t="shared" si="17"/>
        <v>0.26519416257305733</v>
      </c>
      <c r="F284" s="20">
        <f t="shared" si="18"/>
        <v>0.51497005988023936</v>
      </c>
      <c r="G284" s="21">
        <f t="shared" si="19"/>
        <v>234</v>
      </c>
    </row>
    <row r="285" spans="1:7" x14ac:dyDescent="0.25">
      <c r="A285" s="4">
        <v>107</v>
      </c>
      <c r="B285" s="4">
        <v>7</v>
      </c>
      <c r="C285" s="4">
        <v>6</v>
      </c>
      <c r="D285" s="20">
        <f t="shared" si="16"/>
        <v>5.5149700598802394</v>
      </c>
      <c r="E285" s="20">
        <f t="shared" si="17"/>
        <v>0.23525404281257858</v>
      </c>
      <c r="F285" s="20">
        <f t="shared" si="18"/>
        <v>0.48502994011976064</v>
      </c>
      <c r="G285" s="21">
        <f t="shared" si="19"/>
        <v>328</v>
      </c>
    </row>
    <row r="286" spans="1:7" x14ac:dyDescent="0.25">
      <c r="A286" s="4">
        <v>112</v>
      </c>
      <c r="B286" s="4">
        <v>7</v>
      </c>
      <c r="C286" s="4">
        <v>7</v>
      </c>
      <c r="D286" s="20">
        <f t="shared" si="16"/>
        <v>5.5149700598802394</v>
      </c>
      <c r="E286" s="20">
        <f t="shared" si="17"/>
        <v>2.2053139230520999</v>
      </c>
      <c r="F286" s="20">
        <f t="shared" si="18"/>
        <v>1.4850299401197606</v>
      </c>
      <c r="G286" s="21">
        <f t="shared" si="19"/>
        <v>390</v>
      </c>
    </row>
    <row r="287" spans="1:7" x14ac:dyDescent="0.25">
      <c r="A287" s="4">
        <v>116</v>
      </c>
      <c r="B287" s="4">
        <v>7</v>
      </c>
      <c r="C287" s="4">
        <v>6</v>
      </c>
      <c r="D287" s="20">
        <f t="shared" si="16"/>
        <v>5.5149700598802394</v>
      </c>
      <c r="E287" s="20">
        <f t="shared" si="17"/>
        <v>0.23525404281257858</v>
      </c>
      <c r="F287" s="20">
        <f t="shared" si="18"/>
        <v>0.48502994011976064</v>
      </c>
      <c r="G287" s="21">
        <f t="shared" si="19"/>
        <v>328</v>
      </c>
    </row>
    <row r="288" spans="1:7" x14ac:dyDescent="0.25">
      <c r="A288" s="4">
        <v>118</v>
      </c>
      <c r="B288" s="4">
        <v>7</v>
      </c>
      <c r="C288" s="4">
        <v>4</v>
      </c>
      <c r="D288" s="20">
        <f t="shared" si="16"/>
        <v>5.5149700598802394</v>
      </c>
      <c r="E288" s="20">
        <f t="shared" si="17"/>
        <v>2.2951342823335361</v>
      </c>
      <c r="F288" s="20">
        <f t="shared" si="18"/>
        <v>1.5149700598802394</v>
      </c>
      <c r="G288" s="21">
        <f t="shared" si="19"/>
        <v>112.5</v>
      </c>
    </row>
    <row r="289" spans="1:7" x14ac:dyDescent="0.25">
      <c r="A289" s="4">
        <v>124</v>
      </c>
      <c r="B289" s="4">
        <v>7</v>
      </c>
      <c r="C289" s="4">
        <v>6</v>
      </c>
      <c r="D289" s="20">
        <f t="shared" si="16"/>
        <v>5.5149700598802394</v>
      </c>
      <c r="E289" s="20">
        <f t="shared" si="17"/>
        <v>0.23525404281257858</v>
      </c>
      <c r="F289" s="20">
        <f t="shared" si="18"/>
        <v>0.48502994011976064</v>
      </c>
      <c r="G289" s="21">
        <f t="shared" si="19"/>
        <v>328</v>
      </c>
    </row>
    <row r="290" spans="1:7" x14ac:dyDescent="0.25">
      <c r="A290" s="4">
        <v>125</v>
      </c>
      <c r="B290" s="4">
        <v>7</v>
      </c>
      <c r="C290" s="4">
        <v>6</v>
      </c>
      <c r="D290" s="20">
        <f t="shared" si="16"/>
        <v>5.5149700598802394</v>
      </c>
      <c r="E290" s="20">
        <f t="shared" si="17"/>
        <v>0.23525404281257858</v>
      </c>
      <c r="F290" s="20">
        <f t="shared" si="18"/>
        <v>0.48502994011976064</v>
      </c>
      <c r="G290" s="21">
        <f t="shared" si="19"/>
        <v>328</v>
      </c>
    </row>
    <row r="291" spans="1:7" x14ac:dyDescent="0.25">
      <c r="A291" s="4">
        <v>126</v>
      </c>
      <c r="B291" s="4">
        <v>7</v>
      </c>
      <c r="C291" s="4">
        <v>6</v>
      </c>
      <c r="D291" s="20">
        <f t="shared" si="16"/>
        <v>5.5149700598802394</v>
      </c>
      <c r="E291" s="20">
        <f t="shared" si="17"/>
        <v>0.23525404281257858</v>
      </c>
      <c r="F291" s="20">
        <f t="shared" si="18"/>
        <v>0.48502994011976064</v>
      </c>
      <c r="G291" s="21">
        <f t="shared" si="19"/>
        <v>328</v>
      </c>
    </row>
    <row r="292" spans="1:7" x14ac:dyDescent="0.25">
      <c r="A292" s="4">
        <v>127</v>
      </c>
      <c r="B292" s="4">
        <v>7</v>
      </c>
      <c r="C292" s="4">
        <v>4</v>
      </c>
      <c r="D292" s="20">
        <f t="shared" si="16"/>
        <v>5.5149700598802394</v>
      </c>
      <c r="E292" s="20">
        <f t="shared" si="17"/>
        <v>2.2951342823335361</v>
      </c>
      <c r="F292" s="20">
        <f t="shared" si="18"/>
        <v>1.5149700598802394</v>
      </c>
      <c r="G292" s="21">
        <f t="shared" si="19"/>
        <v>112.5</v>
      </c>
    </row>
    <row r="293" spans="1:7" x14ac:dyDescent="0.25">
      <c r="A293" s="4">
        <v>128</v>
      </c>
      <c r="B293" s="4">
        <v>7</v>
      </c>
      <c r="C293" s="4">
        <v>4</v>
      </c>
      <c r="D293" s="20">
        <f t="shared" si="16"/>
        <v>5.5149700598802394</v>
      </c>
      <c r="E293" s="20">
        <f t="shared" si="17"/>
        <v>2.2951342823335361</v>
      </c>
      <c r="F293" s="20">
        <f t="shared" si="18"/>
        <v>1.5149700598802394</v>
      </c>
      <c r="G293" s="21">
        <f t="shared" si="19"/>
        <v>112.5</v>
      </c>
    </row>
    <row r="294" spans="1:7" x14ac:dyDescent="0.25">
      <c r="A294" s="4">
        <v>135</v>
      </c>
      <c r="B294" s="4">
        <v>7</v>
      </c>
      <c r="C294" s="4">
        <v>6</v>
      </c>
      <c r="D294" s="20">
        <f t="shared" si="16"/>
        <v>5.5149700598802394</v>
      </c>
      <c r="E294" s="20">
        <f t="shared" si="17"/>
        <v>0.23525404281257858</v>
      </c>
      <c r="F294" s="20">
        <f t="shared" si="18"/>
        <v>0.48502994011976064</v>
      </c>
      <c r="G294" s="21">
        <f t="shared" si="19"/>
        <v>328</v>
      </c>
    </row>
    <row r="295" spans="1:7" x14ac:dyDescent="0.25">
      <c r="A295" s="4">
        <v>136</v>
      </c>
      <c r="B295" s="4">
        <v>7</v>
      </c>
      <c r="C295" s="4">
        <v>5</v>
      </c>
      <c r="D295" s="20">
        <f t="shared" si="16"/>
        <v>5.5149700598802394</v>
      </c>
      <c r="E295" s="20">
        <f t="shared" si="17"/>
        <v>0.26519416257305733</v>
      </c>
      <c r="F295" s="20">
        <f t="shared" si="18"/>
        <v>0.51497005988023936</v>
      </c>
      <c r="G295" s="21">
        <f t="shared" si="19"/>
        <v>234</v>
      </c>
    </row>
    <row r="296" spans="1:7" x14ac:dyDescent="0.25">
      <c r="A296" s="4">
        <v>140</v>
      </c>
      <c r="B296" s="4">
        <v>7</v>
      </c>
      <c r="C296" s="4">
        <v>6</v>
      </c>
      <c r="D296" s="20">
        <f t="shared" si="16"/>
        <v>5.5149700598802394</v>
      </c>
      <c r="E296" s="20">
        <f t="shared" si="17"/>
        <v>0.23525404281257858</v>
      </c>
      <c r="F296" s="20">
        <f t="shared" si="18"/>
        <v>0.48502994011976064</v>
      </c>
      <c r="G296" s="21">
        <f t="shared" si="19"/>
        <v>328</v>
      </c>
    </row>
    <row r="297" spans="1:7" x14ac:dyDescent="0.25">
      <c r="A297" s="4">
        <v>146</v>
      </c>
      <c r="B297" s="4">
        <v>7</v>
      </c>
      <c r="C297" s="4">
        <v>6</v>
      </c>
      <c r="D297" s="20">
        <f t="shared" si="16"/>
        <v>5.5149700598802394</v>
      </c>
      <c r="E297" s="20">
        <f t="shared" si="17"/>
        <v>0.23525404281257858</v>
      </c>
      <c r="F297" s="20">
        <f t="shared" si="18"/>
        <v>0.48502994011976064</v>
      </c>
      <c r="G297" s="21">
        <f t="shared" si="19"/>
        <v>328</v>
      </c>
    </row>
    <row r="298" spans="1:7" x14ac:dyDescent="0.25">
      <c r="A298" s="4">
        <v>152</v>
      </c>
      <c r="B298" s="4">
        <v>7</v>
      </c>
      <c r="C298" s="4">
        <v>5</v>
      </c>
      <c r="D298" s="20">
        <f t="shared" si="16"/>
        <v>5.5149700598802394</v>
      </c>
      <c r="E298" s="20">
        <f t="shared" si="17"/>
        <v>0.26519416257305733</v>
      </c>
      <c r="F298" s="20">
        <f t="shared" si="18"/>
        <v>0.51497005988023936</v>
      </c>
      <c r="G298" s="21">
        <f t="shared" si="19"/>
        <v>234</v>
      </c>
    </row>
    <row r="299" spans="1:7" x14ac:dyDescent="0.25">
      <c r="A299" s="4">
        <v>154</v>
      </c>
      <c r="B299" s="4">
        <v>7</v>
      </c>
      <c r="C299" s="4">
        <v>6</v>
      </c>
      <c r="D299" s="20">
        <f t="shared" si="16"/>
        <v>5.5149700598802394</v>
      </c>
      <c r="E299" s="20">
        <f t="shared" si="17"/>
        <v>0.23525404281257858</v>
      </c>
      <c r="F299" s="20">
        <f t="shared" si="18"/>
        <v>0.48502994011976064</v>
      </c>
      <c r="G299" s="21">
        <f t="shared" si="19"/>
        <v>328</v>
      </c>
    </row>
    <row r="300" spans="1:7" x14ac:dyDescent="0.25">
      <c r="A300" s="4">
        <v>157</v>
      </c>
      <c r="B300" s="4">
        <v>7</v>
      </c>
      <c r="C300" s="4">
        <v>6</v>
      </c>
      <c r="D300" s="20">
        <f t="shared" si="16"/>
        <v>5.5149700598802394</v>
      </c>
      <c r="E300" s="20">
        <f t="shared" si="17"/>
        <v>0.23525404281257858</v>
      </c>
      <c r="F300" s="20">
        <f t="shared" si="18"/>
        <v>0.48502994011976064</v>
      </c>
      <c r="G300" s="21">
        <f t="shared" si="19"/>
        <v>328</v>
      </c>
    </row>
    <row r="301" spans="1:7" x14ac:dyDescent="0.25">
      <c r="A301" s="4">
        <v>158</v>
      </c>
      <c r="B301" s="4">
        <v>7</v>
      </c>
      <c r="C301" s="4">
        <v>6</v>
      </c>
      <c r="D301" s="20">
        <f t="shared" si="16"/>
        <v>5.5149700598802394</v>
      </c>
      <c r="E301" s="20">
        <f t="shared" si="17"/>
        <v>0.23525404281257858</v>
      </c>
      <c r="F301" s="20">
        <f t="shared" si="18"/>
        <v>0.48502994011976064</v>
      </c>
      <c r="G301" s="21">
        <f t="shared" si="19"/>
        <v>328</v>
      </c>
    </row>
    <row r="302" spans="1:7" x14ac:dyDescent="0.25">
      <c r="A302" s="4">
        <v>159</v>
      </c>
      <c r="B302" s="4">
        <v>7</v>
      </c>
      <c r="C302" s="4">
        <v>5</v>
      </c>
      <c r="D302" s="20">
        <f t="shared" si="16"/>
        <v>5.5149700598802394</v>
      </c>
      <c r="E302" s="20">
        <f t="shared" si="17"/>
        <v>0.26519416257305733</v>
      </c>
      <c r="F302" s="20">
        <f t="shared" si="18"/>
        <v>0.51497005988023936</v>
      </c>
      <c r="G302" s="21">
        <f t="shared" si="19"/>
        <v>234</v>
      </c>
    </row>
    <row r="303" spans="1:7" x14ac:dyDescent="0.25">
      <c r="A303" s="4">
        <v>160</v>
      </c>
      <c r="B303" s="4">
        <v>7</v>
      </c>
      <c r="C303" s="4">
        <v>6</v>
      </c>
      <c r="D303" s="20">
        <f t="shared" si="16"/>
        <v>5.5149700598802394</v>
      </c>
      <c r="E303" s="20">
        <f t="shared" si="17"/>
        <v>0.23525404281257858</v>
      </c>
      <c r="F303" s="20">
        <f t="shared" si="18"/>
        <v>0.48502994011976064</v>
      </c>
      <c r="G303" s="21">
        <f t="shared" si="19"/>
        <v>328</v>
      </c>
    </row>
    <row r="304" spans="1:7" x14ac:dyDescent="0.25">
      <c r="A304" s="4">
        <v>162</v>
      </c>
      <c r="B304" s="4">
        <v>7</v>
      </c>
      <c r="C304" s="4">
        <v>5</v>
      </c>
      <c r="D304" s="20">
        <f t="shared" si="16"/>
        <v>5.5149700598802394</v>
      </c>
      <c r="E304" s="20">
        <f t="shared" si="17"/>
        <v>0.26519416257305733</v>
      </c>
      <c r="F304" s="20">
        <f t="shared" si="18"/>
        <v>0.51497005988023936</v>
      </c>
      <c r="G304" s="21">
        <f t="shared" si="19"/>
        <v>234</v>
      </c>
    </row>
    <row r="305" spans="1:7" x14ac:dyDescent="0.25">
      <c r="A305" s="4">
        <v>163</v>
      </c>
      <c r="B305" s="4">
        <v>7</v>
      </c>
      <c r="C305" s="4">
        <v>7</v>
      </c>
      <c r="D305" s="20">
        <f t="shared" si="16"/>
        <v>5.5149700598802394</v>
      </c>
      <c r="E305" s="20">
        <f t="shared" si="17"/>
        <v>2.2053139230520999</v>
      </c>
      <c r="F305" s="20">
        <f t="shared" si="18"/>
        <v>1.4850299401197606</v>
      </c>
      <c r="G305" s="21">
        <f t="shared" si="19"/>
        <v>390</v>
      </c>
    </row>
    <row r="306" spans="1:7" x14ac:dyDescent="0.25">
      <c r="A306" s="4">
        <v>164</v>
      </c>
      <c r="B306" s="4">
        <v>7</v>
      </c>
      <c r="C306" s="4">
        <v>5</v>
      </c>
      <c r="D306" s="20">
        <f t="shared" si="16"/>
        <v>5.5149700598802394</v>
      </c>
      <c r="E306" s="20">
        <f t="shared" si="17"/>
        <v>0.26519416257305733</v>
      </c>
      <c r="F306" s="20">
        <f t="shared" si="18"/>
        <v>0.51497005988023936</v>
      </c>
      <c r="G306" s="21">
        <f t="shared" si="19"/>
        <v>234</v>
      </c>
    </row>
    <row r="307" spans="1:7" x14ac:dyDescent="0.25">
      <c r="A307" s="4">
        <v>165</v>
      </c>
      <c r="B307" s="4">
        <v>7</v>
      </c>
      <c r="C307" s="4">
        <v>5</v>
      </c>
      <c r="D307" s="20">
        <f t="shared" si="16"/>
        <v>5.5149700598802394</v>
      </c>
      <c r="E307" s="20">
        <f t="shared" si="17"/>
        <v>0.26519416257305733</v>
      </c>
      <c r="F307" s="20">
        <f t="shared" si="18"/>
        <v>0.51497005988023936</v>
      </c>
      <c r="G307" s="21">
        <f t="shared" si="19"/>
        <v>234</v>
      </c>
    </row>
    <row r="308" spans="1:7" x14ac:dyDescent="0.25">
      <c r="A308" s="4">
        <v>166</v>
      </c>
      <c r="B308" s="4">
        <v>7</v>
      </c>
      <c r="C308" s="4">
        <v>6</v>
      </c>
      <c r="D308" s="20">
        <f t="shared" si="16"/>
        <v>5.5149700598802394</v>
      </c>
      <c r="E308" s="20">
        <f t="shared" si="17"/>
        <v>0.23525404281257858</v>
      </c>
      <c r="F308" s="20">
        <f t="shared" si="18"/>
        <v>0.48502994011976064</v>
      </c>
      <c r="G308" s="21">
        <f t="shared" si="19"/>
        <v>328</v>
      </c>
    </row>
    <row r="309" spans="1:7" x14ac:dyDescent="0.25">
      <c r="A309" s="4">
        <v>167</v>
      </c>
      <c r="B309" s="4">
        <v>7</v>
      </c>
      <c r="C309" s="4">
        <v>4</v>
      </c>
      <c r="D309" s="20">
        <f t="shared" si="16"/>
        <v>5.5149700598802394</v>
      </c>
      <c r="E309" s="20">
        <f t="shared" si="17"/>
        <v>2.2951342823335361</v>
      </c>
      <c r="F309" s="20">
        <f t="shared" si="18"/>
        <v>1.5149700598802394</v>
      </c>
      <c r="G309" s="21">
        <f t="shared" si="19"/>
        <v>112.5</v>
      </c>
    </row>
    <row r="310" spans="1:7" x14ac:dyDescent="0.25">
      <c r="A310" s="4">
        <v>168</v>
      </c>
      <c r="B310" s="4">
        <v>7</v>
      </c>
      <c r="C310" s="4">
        <v>6</v>
      </c>
      <c r="D310" s="20">
        <f t="shared" si="16"/>
        <v>5.5149700598802394</v>
      </c>
      <c r="E310" s="20">
        <f t="shared" si="17"/>
        <v>0.23525404281257858</v>
      </c>
      <c r="F310" s="20">
        <f t="shared" si="18"/>
        <v>0.48502994011976064</v>
      </c>
      <c r="G310" s="21">
        <f t="shared" si="19"/>
        <v>328</v>
      </c>
    </row>
    <row r="311" spans="1:7" x14ac:dyDescent="0.25">
      <c r="A311" s="4">
        <v>170</v>
      </c>
      <c r="B311" s="4">
        <v>7</v>
      </c>
      <c r="C311" s="4">
        <v>4</v>
      </c>
      <c r="D311" s="20">
        <f t="shared" si="16"/>
        <v>5.5149700598802394</v>
      </c>
      <c r="E311" s="20">
        <f t="shared" si="17"/>
        <v>2.2951342823335361</v>
      </c>
      <c r="F311" s="20">
        <f t="shared" si="18"/>
        <v>1.5149700598802394</v>
      </c>
      <c r="G311" s="21">
        <f t="shared" si="19"/>
        <v>112.5</v>
      </c>
    </row>
    <row r="312" spans="1:7" x14ac:dyDescent="0.25">
      <c r="A312" s="4">
        <v>175</v>
      </c>
      <c r="B312" s="4">
        <v>7</v>
      </c>
      <c r="C312" s="4">
        <v>5</v>
      </c>
      <c r="D312" s="20">
        <f t="shared" si="16"/>
        <v>5.5149700598802394</v>
      </c>
      <c r="E312" s="20">
        <f t="shared" si="17"/>
        <v>0.26519416257305733</v>
      </c>
      <c r="F312" s="20">
        <f t="shared" si="18"/>
        <v>0.51497005988023936</v>
      </c>
      <c r="G312" s="21">
        <f t="shared" si="19"/>
        <v>234</v>
      </c>
    </row>
    <row r="313" spans="1:7" x14ac:dyDescent="0.25">
      <c r="A313" s="4">
        <v>179</v>
      </c>
      <c r="B313" s="4">
        <v>7</v>
      </c>
      <c r="C313" s="4">
        <v>6</v>
      </c>
      <c r="D313" s="20">
        <f t="shared" si="16"/>
        <v>5.5149700598802394</v>
      </c>
      <c r="E313" s="20">
        <f t="shared" si="17"/>
        <v>0.23525404281257858</v>
      </c>
      <c r="F313" s="20">
        <f t="shared" si="18"/>
        <v>0.48502994011976064</v>
      </c>
      <c r="G313" s="21">
        <f t="shared" si="19"/>
        <v>328</v>
      </c>
    </row>
    <row r="314" spans="1:7" x14ac:dyDescent="0.25">
      <c r="A314" s="4">
        <v>181</v>
      </c>
      <c r="B314" s="4">
        <v>7</v>
      </c>
      <c r="C314" s="4">
        <v>4</v>
      </c>
      <c r="D314" s="20">
        <f t="shared" si="16"/>
        <v>5.5149700598802394</v>
      </c>
      <c r="E314" s="20">
        <f t="shared" si="17"/>
        <v>2.2951342823335361</v>
      </c>
      <c r="F314" s="20">
        <f t="shared" si="18"/>
        <v>1.5149700598802394</v>
      </c>
      <c r="G314" s="21">
        <f t="shared" si="19"/>
        <v>112.5</v>
      </c>
    </row>
    <row r="315" spans="1:7" x14ac:dyDescent="0.25">
      <c r="A315" s="4">
        <v>187</v>
      </c>
      <c r="B315" s="4">
        <v>7</v>
      </c>
      <c r="C315" s="4">
        <v>6</v>
      </c>
      <c r="D315" s="20">
        <f t="shared" si="16"/>
        <v>5.5149700598802394</v>
      </c>
      <c r="E315" s="20">
        <f t="shared" si="17"/>
        <v>0.23525404281257858</v>
      </c>
      <c r="F315" s="20">
        <f t="shared" si="18"/>
        <v>0.48502994011976064</v>
      </c>
      <c r="G315" s="21">
        <f t="shared" si="19"/>
        <v>328</v>
      </c>
    </row>
    <row r="316" spans="1:7" x14ac:dyDescent="0.25">
      <c r="A316" s="4">
        <v>188</v>
      </c>
      <c r="B316" s="4">
        <v>7</v>
      </c>
      <c r="C316" s="4">
        <v>6</v>
      </c>
      <c r="D316" s="20">
        <f t="shared" si="16"/>
        <v>5.5149700598802394</v>
      </c>
      <c r="E316" s="20">
        <f t="shared" si="17"/>
        <v>0.23525404281257858</v>
      </c>
      <c r="F316" s="20">
        <f t="shared" si="18"/>
        <v>0.48502994011976064</v>
      </c>
      <c r="G316" s="21">
        <f t="shared" si="19"/>
        <v>328</v>
      </c>
    </row>
    <row r="317" spans="1:7" x14ac:dyDescent="0.25">
      <c r="A317" s="4">
        <v>189</v>
      </c>
      <c r="B317" s="4">
        <v>7</v>
      </c>
      <c r="C317" s="4">
        <v>6</v>
      </c>
      <c r="D317" s="20">
        <f t="shared" si="16"/>
        <v>5.5149700598802394</v>
      </c>
      <c r="E317" s="20">
        <f t="shared" si="17"/>
        <v>0.23525404281257858</v>
      </c>
      <c r="F317" s="20">
        <f t="shared" si="18"/>
        <v>0.48502994011976064</v>
      </c>
      <c r="G317" s="21">
        <f t="shared" si="19"/>
        <v>328</v>
      </c>
    </row>
    <row r="318" spans="1:7" x14ac:dyDescent="0.25">
      <c r="A318" s="4">
        <v>190</v>
      </c>
      <c r="B318" s="4">
        <v>7</v>
      </c>
      <c r="C318" s="4">
        <v>7</v>
      </c>
      <c r="D318" s="20">
        <f t="shared" si="16"/>
        <v>5.5149700598802394</v>
      </c>
      <c r="E318" s="20">
        <f t="shared" si="17"/>
        <v>2.2053139230520999</v>
      </c>
      <c r="F318" s="20">
        <f t="shared" si="18"/>
        <v>1.4850299401197606</v>
      </c>
      <c r="G318" s="21">
        <f t="shared" si="19"/>
        <v>390</v>
      </c>
    </row>
    <row r="319" spans="1:7" x14ac:dyDescent="0.25">
      <c r="A319" s="4">
        <v>192</v>
      </c>
      <c r="B319" s="4">
        <v>7</v>
      </c>
      <c r="C319" s="4">
        <v>4</v>
      </c>
      <c r="D319" s="20">
        <f t="shared" si="16"/>
        <v>5.5149700598802394</v>
      </c>
      <c r="E319" s="20">
        <f t="shared" si="17"/>
        <v>2.2951342823335361</v>
      </c>
      <c r="F319" s="20">
        <f t="shared" si="18"/>
        <v>1.5149700598802394</v>
      </c>
      <c r="G319" s="21">
        <f t="shared" si="19"/>
        <v>112.5</v>
      </c>
    </row>
    <row r="320" spans="1:7" x14ac:dyDescent="0.25">
      <c r="A320" s="4">
        <v>193</v>
      </c>
      <c r="B320" s="4">
        <v>7</v>
      </c>
      <c r="C320" s="4">
        <v>5</v>
      </c>
      <c r="D320" s="20">
        <f t="shared" si="16"/>
        <v>5.5149700598802394</v>
      </c>
      <c r="E320" s="20">
        <f t="shared" si="17"/>
        <v>0.26519416257305733</v>
      </c>
      <c r="F320" s="20">
        <f t="shared" si="18"/>
        <v>0.51497005988023936</v>
      </c>
      <c r="G320" s="21">
        <f t="shared" si="19"/>
        <v>234</v>
      </c>
    </row>
    <row r="321" spans="1:7" x14ac:dyDescent="0.25">
      <c r="A321" s="4">
        <v>197</v>
      </c>
      <c r="B321" s="4">
        <v>7</v>
      </c>
      <c r="C321" s="4">
        <v>6</v>
      </c>
      <c r="D321" s="20">
        <f t="shared" si="16"/>
        <v>5.5149700598802394</v>
      </c>
      <c r="E321" s="20">
        <f t="shared" si="17"/>
        <v>0.23525404281257858</v>
      </c>
      <c r="F321" s="20">
        <f t="shared" si="18"/>
        <v>0.48502994011976064</v>
      </c>
      <c r="G321" s="21">
        <f t="shared" si="19"/>
        <v>328</v>
      </c>
    </row>
    <row r="322" spans="1:7" x14ac:dyDescent="0.25">
      <c r="A322" s="4">
        <v>201</v>
      </c>
      <c r="B322" s="4">
        <v>7</v>
      </c>
      <c r="C322" s="4">
        <v>4</v>
      </c>
      <c r="D322" s="20">
        <f t="shared" ref="D322:D385" si="20">AVERAGEIF($B$2:$B$406,B322,$C$2:$C$406)</f>
        <v>5.5149700598802394</v>
      </c>
      <c r="E322" s="20">
        <f t="shared" ref="E322:E385" si="21">(C322-D322)^2</f>
        <v>2.2951342823335361</v>
      </c>
      <c r="F322" s="20">
        <f t="shared" ref="F322:F385" si="22">ABS(C322-D322)</f>
        <v>1.5149700598802394</v>
      </c>
      <c r="G322" s="21">
        <f t="shared" ref="G322:G385" si="23">_xlfn.RANK.AVG(C322,$C$2:$C$406,1)</f>
        <v>112.5</v>
      </c>
    </row>
    <row r="323" spans="1:7" x14ac:dyDescent="0.25">
      <c r="A323" s="4">
        <v>202</v>
      </c>
      <c r="B323" s="4">
        <v>7</v>
      </c>
      <c r="C323" s="4">
        <v>4</v>
      </c>
      <c r="D323" s="20">
        <f t="shared" si="20"/>
        <v>5.5149700598802394</v>
      </c>
      <c r="E323" s="20">
        <f t="shared" si="21"/>
        <v>2.2951342823335361</v>
      </c>
      <c r="F323" s="20">
        <f t="shared" si="22"/>
        <v>1.5149700598802394</v>
      </c>
      <c r="G323" s="21">
        <f t="shared" si="23"/>
        <v>112.5</v>
      </c>
    </row>
    <row r="324" spans="1:7" x14ac:dyDescent="0.25">
      <c r="A324" s="4">
        <v>209</v>
      </c>
      <c r="B324" s="4">
        <v>7</v>
      </c>
      <c r="C324" s="4">
        <v>7</v>
      </c>
      <c r="D324" s="20">
        <f t="shared" si="20"/>
        <v>5.5149700598802394</v>
      </c>
      <c r="E324" s="20">
        <f t="shared" si="21"/>
        <v>2.2053139230520999</v>
      </c>
      <c r="F324" s="20">
        <f t="shared" si="22"/>
        <v>1.4850299401197606</v>
      </c>
      <c r="G324" s="21">
        <f t="shared" si="23"/>
        <v>390</v>
      </c>
    </row>
    <row r="325" spans="1:7" x14ac:dyDescent="0.25">
      <c r="A325" s="4">
        <v>210</v>
      </c>
      <c r="B325" s="4">
        <v>7</v>
      </c>
      <c r="C325" s="4">
        <v>5</v>
      </c>
      <c r="D325" s="20">
        <f t="shared" si="20"/>
        <v>5.5149700598802394</v>
      </c>
      <c r="E325" s="20">
        <f t="shared" si="21"/>
        <v>0.26519416257305733</v>
      </c>
      <c r="F325" s="20">
        <f t="shared" si="22"/>
        <v>0.51497005988023936</v>
      </c>
      <c r="G325" s="21">
        <f t="shared" si="23"/>
        <v>234</v>
      </c>
    </row>
    <row r="326" spans="1:7" x14ac:dyDescent="0.25">
      <c r="A326" s="4">
        <v>214</v>
      </c>
      <c r="B326" s="4">
        <v>7</v>
      </c>
      <c r="C326" s="4">
        <v>6</v>
      </c>
      <c r="D326" s="20">
        <f t="shared" si="20"/>
        <v>5.5149700598802394</v>
      </c>
      <c r="E326" s="20">
        <f t="shared" si="21"/>
        <v>0.23525404281257858</v>
      </c>
      <c r="F326" s="20">
        <f t="shared" si="22"/>
        <v>0.48502994011976064</v>
      </c>
      <c r="G326" s="21">
        <f t="shared" si="23"/>
        <v>328</v>
      </c>
    </row>
    <row r="327" spans="1:7" x14ac:dyDescent="0.25">
      <c r="A327" s="4">
        <v>220</v>
      </c>
      <c r="B327" s="4">
        <v>7</v>
      </c>
      <c r="C327" s="4">
        <v>4</v>
      </c>
      <c r="D327" s="20">
        <f t="shared" si="20"/>
        <v>5.5149700598802394</v>
      </c>
      <c r="E327" s="20">
        <f t="shared" si="21"/>
        <v>2.2951342823335361</v>
      </c>
      <c r="F327" s="20">
        <f t="shared" si="22"/>
        <v>1.5149700598802394</v>
      </c>
      <c r="G327" s="21">
        <f t="shared" si="23"/>
        <v>112.5</v>
      </c>
    </row>
    <row r="328" spans="1:7" x14ac:dyDescent="0.25">
      <c r="A328" s="4">
        <v>226</v>
      </c>
      <c r="B328" s="4">
        <v>7</v>
      </c>
      <c r="C328" s="4">
        <v>6</v>
      </c>
      <c r="D328" s="20">
        <f t="shared" si="20"/>
        <v>5.5149700598802394</v>
      </c>
      <c r="E328" s="20">
        <f t="shared" si="21"/>
        <v>0.23525404281257858</v>
      </c>
      <c r="F328" s="20">
        <f t="shared" si="22"/>
        <v>0.48502994011976064</v>
      </c>
      <c r="G328" s="21">
        <f t="shared" si="23"/>
        <v>328</v>
      </c>
    </row>
    <row r="329" spans="1:7" x14ac:dyDescent="0.25">
      <c r="A329" s="4">
        <v>228</v>
      </c>
      <c r="B329" s="4">
        <v>7</v>
      </c>
      <c r="C329" s="4">
        <v>6</v>
      </c>
      <c r="D329" s="20">
        <f t="shared" si="20"/>
        <v>5.5149700598802394</v>
      </c>
      <c r="E329" s="20">
        <f t="shared" si="21"/>
        <v>0.23525404281257858</v>
      </c>
      <c r="F329" s="20">
        <f t="shared" si="22"/>
        <v>0.48502994011976064</v>
      </c>
      <c r="G329" s="21">
        <f t="shared" si="23"/>
        <v>328</v>
      </c>
    </row>
    <row r="330" spans="1:7" x14ac:dyDescent="0.25">
      <c r="A330" s="4">
        <v>231</v>
      </c>
      <c r="B330" s="4">
        <v>7</v>
      </c>
      <c r="C330" s="4">
        <v>6</v>
      </c>
      <c r="D330" s="20">
        <f t="shared" si="20"/>
        <v>5.5149700598802394</v>
      </c>
      <c r="E330" s="20">
        <f t="shared" si="21"/>
        <v>0.23525404281257858</v>
      </c>
      <c r="F330" s="20">
        <f t="shared" si="22"/>
        <v>0.48502994011976064</v>
      </c>
      <c r="G330" s="21">
        <f t="shared" si="23"/>
        <v>328</v>
      </c>
    </row>
    <row r="331" spans="1:7" x14ac:dyDescent="0.25">
      <c r="A331" s="4">
        <v>232</v>
      </c>
      <c r="B331" s="4">
        <v>7</v>
      </c>
      <c r="C331" s="4">
        <v>6</v>
      </c>
      <c r="D331" s="20">
        <f t="shared" si="20"/>
        <v>5.5149700598802394</v>
      </c>
      <c r="E331" s="20">
        <f t="shared" si="21"/>
        <v>0.23525404281257858</v>
      </c>
      <c r="F331" s="20">
        <f t="shared" si="22"/>
        <v>0.48502994011976064</v>
      </c>
      <c r="G331" s="21">
        <f t="shared" si="23"/>
        <v>328</v>
      </c>
    </row>
    <row r="332" spans="1:7" x14ac:dyDescent="0.25">
      <c r="A332" s="4">
        <v>233</v>
      </c>
      <c r="B332" s="4">
        <v>7</v>
      </c>
      <c r="C332" s="4">
        <v>5</v>
      </c>
      <c r="D332" s="20">
        <f t="shared" si="20"/>
        <v>5.5149700598802394</v>
      </c>
      <c r="E332" s="20">
        <f t="shared" si="21"/>
        <v>0.26519416257305733</v>
      </c>
      <c r="F332" s="20">
        <f t="shared" si="22"/>
        <v>0.51497005988023936</v>
      </c>
      <c r="G332" s="21">
        <f t="shared" si="23"/>
        <v>234</v>
      </c>
    </row>
    <row r="333" spans="1:7" x14ac:dyDescent="0.25">
      <c r="A333" s="4">
        <v>234</v>
      </c>
      <c r="B333" s="4">
        <v>7</v>
      </c>
      <c r="C333" s="4">
        <v>6</v>
      </c>
      <c r="D333" s="20">
        <f t="shared" si="20"/>
        <v>5.5149700598802394</v>
      </c>
      <c r="E333" s="20">
        <f t="shared" si="21"/>
        <v>0.23525404281257858</v>
      </c>
      <c r="F333" s="20">
        <f t="shared" si="22"/>
        <v>0.48502994011976064</v>
      </c>
      <c r="G333" s="21">
        <f t="shared" si="23"/>
        <v>328</v>
      </c>
    </row>
    <row r="334" spans="1:7" x14ac:dyDescent="0.25">
      <c r="A334" s="4">
        <v>236</v>
      </c>
      <c r="B334" s="4">
        <v>7</v>
      </c>
      <c r="C334" s="4">
        <v>5</v>
      </c>
      <c r="D334" s="20">
        <f t="shared" si="20"/>
        <v>5.5149700598802394</v>
      </c>
      <c r="E334" s="20">
        <f t="shared" si="21"/>
        <v>0.26519416257305733</v>
      </c>
      <c r="F334" s="20">
        <f t="shared" si="22"/>
        <v>0.51497005988023936</v>
      </c>
      <c r="G334" s="21">
        <f t="shared" si="23"/>
        <v>234</v>
      </c>
    </row>
    <row r="335" spans="1:7" x14ac:dyDescent="0.25">
      <c r="A335" s="4">
        <v>237</v>
      </c>
      <c r="B335" s="4">
        <v>7</v>
      </c>
      <c r="C335" s="4">
        <v>7</v>
      </c>
      <c r="D335" s="20">
        <f t="shared" si="20"/>
        <v>5.5149700598802394</v>
      </c>
      <c r="E335" s="20">
        <f t="shared" si="21"/>
        <v>2.2053139230520999</v>
      </c>
      <c r="F335" s="20">
        <f t="shared" si="22"/>
        <v>1.4850299401197606</v>
      </c>
      <c r="G335" s="21">
        <f t="shared" si="23"/>
        <v>390</v>
      </c>
    </row>
    <row r="336" spans="1:7" x14ac:dyDescent="0.25">
      <c r="A336" s="4">
        <v>238</v>
      </c>
      <c r="B336" s="4">
        <v>7</v>
      </c>
      <c r="C336" s="4">
        <v>5</v>
      </c>
      <c r="D336" s="20">
        <f t="shared" si="20"/>
        <v>5.5149700598802394</v>
      </c>
      <c r="E336" s="20">
        <f t="shared" si="21"/>
        <v>0.26519416257305733</v>
      </c>
      <c r="F336" s="20">
        <f t="shared" si="22"/>
        <v>0.51497005988023936</v>
      </c>
      <c r="G336" s="21">
        <f t="shared" si="23"/>
        <v>234</v>
      </c>
    </row>
    <row r="337" spans="1:7" x14ac:dyDescent="0.25">
      <c r="A337" s="4">
        <v>239</v>
      </c>
      <c r="B337" s="4">
        <v>7</v>
      </c>
      <c r="C337" s="4">
        <v>5</v>
      </c>
      <c r="D337" s="20">
        <f t="shared" si="20"/>
        <v>5.5149700598802394</v>
      </c>
      <c r="E337" s="20">
        <f t="shared" si="21"/>
        <v>0.26519416257305733</v>
      </c>
      <c r="F337" s="20">
        <f t="shared" si="22"/>
        <v>0.51497005988023936</v>
      </c>
      <c r="G337" s="21">
        <f t="shared" si="23"/>
        <v>234</v>
      </c>
    </row>
    <row r="338" spans="1:7" x14ac:dyDescent="0.25">
      <c r="A338" s="4">
        <v>240</v>
      </c>
      <c r="B338" s="4">
        <v>7</v>
      </c>
      <c r="C338" s="4">
        <v>6</v>
      </c>
      <c r="D338" s="20">
        <f t="shared" si="20"/>
        <v>5.5149700598802394</v>
      </c>
      <c r="E338" s="20">
        <f t="shared" si="21"/>
        <v>0.23525404281257858</v>
      </c>
      <c r="F338" s="20">
        <f t="shared" si="22"/>
        <v>0.48502994011976064</v>
      </c>
      <c r="G338" s="21">
        <f t="shared" si="23"/>
        <v>328</v>
      </c>
    </row>
    <row r="339" spans="1:7" x14ac:dyDescent="0.25">
      <c r="A339" s="4">
        <v>241</v>
      </c>
      <c r="B339" s="4">
        <v>7</v>
      </c>
      <c r="C339" s="4">
        <v>4</v>
      </c>
      <c r="D339" s="20">
        <f t="shared" si="20"/>
        <v>5.5149700598802394</v>
      </c>
      <c r="E339" s="20">
        <f t="shared" si="21"/>
        <v>2.2951342823335361</v>
      </c>
      <c r="F339" s="20">
        <f t="shared" si="22"/>
        <v>1.5149700598802394</v>
      </c>
      <c r="G339" s="21">
        <f t="shared" si="23"/>
        <v>112.5</v>
      </c>
    </row>
    <row r="340" spans="1:7" x14ac:dyDescent="0.25">
      <c r="A340" s="4">
        <v>242</v>
      </c>
      <c r="B340" s="4">
        <v>7</v>
      </c>
      <c r="C340" s="4">
        <v>6</v>
      </c>
      <c r="D340" s="20">
        <f t="shared" si="20"/>
        <v>5.5149700598802394</v>
      </c>
      <c r="E340" s="20">
        <f t="shared" si="21"/>
        <v>0.23525404281257858</v>
      </c>
      <c r="F340" s="20">
        <f t="shared" si="22"/>
        <v>0.48502994011976064</v>
      </c>
      <c r="G340" s="21">
        <f t="shared" si="23"/>
        <v>328</v>
      </c>
    </row>
    <row r="341" spans="1:7" x14ac:dyDescent="0.25">
      <c r="A341" s="4">
        <v>244</v>
      </c>
      <c r="B341" s="4">
        <v>7</v>
      </c>
      <c r="C341" s="4">
        <v>4</v>
      </c>
      <c r="D341" s="20">
        <f t="shared" si="20"/>
        <v>5.5149700598802394</v>
      </c>
      <c r="E341" s="20">
        <f t="shared" si="21"/>
        <v>2.2951342823335361</v>
      </c>
      <c r="F341" s="20">
        <f t="shared" si="22"/>
        <v>1.5149700598802394</v>
      </c>
      <c r="G341" s="21">
        <f t="shared" si="23"/>
        <v>112.5</v>
      </c>
    </row>
    <row r="342" spans="1:7" x14ac:dyDescent="0.25">
      <c r="A342" s="4">
        <v>249</v>
      </c>
      <c r="B342" s="4">
        <v>7</v>
      </c>
      <c r="C342" s="4">
        <v>7</v>
      </c>
      <c r="D342" s="20">
        <f t="shared" si="20"/>
        <v>5.5149700598802394</v>
      </c>
      <c r="E342" s="20">
        <f t="shared" si="21"/>
        <v>2.2053139230520999</v>
      </c>
      <c r="F342" s="20">
        <f t="shared" si="22"/>
        <v>1.4850299401197606</v>
      </c>
      <c r="G342" s="21">
        <f t="shared" si="23"/>
        <v>390</v>
      </c>
    </row>
    <row r="343" spans="1:7" x14ac:dyDescent="0.25">
      <c r="A343" s="4">
        <v>253</v>
      </c>
      <c r="B343" s="4">
        <v>7</v>
      </c>
      <c r="C343" s="4">
        <v>6</v>
      </c>
      <c r="D343" s="20">
        <f t="shared" si="20"/>
        <v>5.5149700598802394</v>
      </c>
      <c r="E343" s="20">
        <f t="shared" si="21"/>
        <v>0.23525404281257858</v>
      </c>
      <c r="F343" s="20">
        <f t="shared" si="22"/>
        <v>0.48502994011976064</v>
      </c>
      <c r="G343" s="21">
        <f t="shared" si="23"/>
        <v>328</v>
      </c>
    </row>
    <row r="344" spans="1:7" x14ac:dyDescent="0.25">
      <c r="A344" s="4">
        <v>255</v>
      </c>
      <c r="B344" s="4">
        <v>7</v>
      </c>
      <c r="C344" s="4">
        <v>4</v>
      </c>
      <c r="D344" s="20">
        <f t="shared" si="20"/>
        <v>5.5149700598802394</v>
      </c>
      <c r="E344" s="20">
        <f t="shared" si="21"/>
        <v>2.2951342823335361</v>
      </c>
      <c r="F344" s="20">
        <f t="shared" si="22"/>
        <v>1.5149700598802394</v>
      </c>
      <c r="G344" s="21">
        <f t="shared" si="23"/>
        <v>112.5</v>
      </c>
    </row>
    <row r="345" spans="1:7" x14ac:dyDescent="0.25">
      <c r="A345" s="4">
        <v>261</v>
      </c>
      <c r="B345" s="4">
        <v>7</v>
      </c>
      <c r="C345" s="4">
        <v>6</v>
      </c>
      <c r="D345" s="20">
        <f t="shared" si="20"/>
        <v>5.5149700598802394</v>
      </c>
      <c r="E345" s="20">
        <f t="shared" si="21"/>
        <v>0.23525404281257858</v>
      </c>
      <c r="F345" s="20">
        <f t="shared" si="22"/>
        <v>0.48502994011976064</v>
      </c>
      <c r="G345" s="21">
        <f t="shared" si="23"/>
        <v>328</v>
      </c>
    </row>
    <row r="346" spans="1:7" x14ac:dyDescent="0.25">
      <c r="A346" s="4">
        <v>262</v>
      </c>
      <c r="B346" s="4">
        <v>7</v>
      </c>
      <c r="C346" s="4">
        <v>6</v>
      </c>
      <c r="D346" s="20">
        <f t="shared" si="20"/>
        <v>5.5149700598802394</v>
      </c>
      <c r="E346" s="20">
        <f t="shared" si="21"/>
        <v>0.23525404281257858</v>
      </c>
      <c r="F346" s="20">
        <f t="shared" si="22"/>
        <v>0.48502994011976064</v>
      </c>
      <c r="G346" s="21">
        <f t="shared" si="23"/>
        <v>328</v>
      </c>
    </row>
    <row r="347" spans="1:7" x14ac:dyDescent="0.25">
      <c r="A347" s="4">
        <v>263</v>
      </c>
      <c r="B347" s="4">
        <v>7</v>
      </c>
      <c r="C347" s="4">
        <v>6</v>
      </c>
      <c r="D347" s="20">
        <f t="shared" si="20"/>
        <v>5.5149700598802394</v>
      </c>
      <c r="E347" s="20">
        <f t="shared" si="21"/>
        <v>0.23525404281257858</v>
      </c>
      <c r="F347" s="20">
        <f t="shared" si="22"/>
        <v>0.48502994011976064</v>
      </c>
      <c r="G347" s="21">
        <f t="shared" si="23"/>
        <v>328</v>
      </c>
    </row>
    <row r="348" spans="1:7" x14ac:dyDescent="0.25">
      <c r="A348" s="4">
        <v>264</v>
      </c>
      <c r="B348" s="4">
        <v>7</v>
      </c>
      <c r="C348" s="4">
        <v>4</v>
      </c>
      <c r="D348" s="20">
        <f t="shared" si="20"/>
        <v>5.5149700598802394</v>
      </c>
      <c r="E348" s="20">
        <f t="shared" si="21"/>
        <v>2.2951342823335361</v>
      </c>
      <c r="F348" s="20">
        <f t="shared" si="22"/>
        <v>1.5149700598802394</v>
      </c>
      <c r="G348" s="21">
        <f t="shared" si="23"/>
        <v>112.5</v>
      </c>
    </row>
    <row r="349" spans="1:7" x14ac:dyDescent="0.25">
      <c r="A349" s="4">
        <v>265</v>
      </c>
      <c r="B349" s="4">
        <v>7</v>
      </c>
      <c r="C349" s="4">
        <v>4</v>
      </c>
      <c r="D349" s="20">
        <f t="shared" si="20"/>
        <v>5.5149700598802394</v>
      </c>
      <c r="E349" s="20">
        <f t="shared" si="21"/>
        <v>2.2951342823335361</v>
      </c>
      <c r="F349" s="20">
        <f t="shared" si="22"/>
        <v>1.5149700598802394</v>
      </c>
      <c r="G349" s="21">
        <f t="shared" si="23"/>
        <v>112.5</v>
      </c>
    </row>
    <row r="350" spans="1:7" x14ac:dyDescent="0.25">
      <c r="A350" s="4">
        <v>272</v>
      </c>
      <c r="B350" s="4">
        <v>7</v>
      </c>
      <c r="C350" s="4">
        <v>6</v>
      </c>
      <c r="D350" s="20">
        <f t="shared" si="20"/>
        <v>5.5149700598802394</v>
      </c>
      <c r="E350" s="20">
        <f t="shared" si="21"/>
        <v>0.23525404281257858</v>
      </c>
      <c r="F350" s="20">
        <f t="shared" si="22"/>
        <v>0.48502994011976064</v>
      </c>
      <c r="G350" s="21">
        <f t="shared" si="23"/>
        <v>328</v>
      </c>
    </row>
    <row r="351" spans="1:7" x14ac:dyDescent="0.25">
      <c r="A351" s="4">
        <v>273</v>
      </c>
      <c r="B351" s="4">
        <v>7</v>
      </c>
      <c r="C351" s="4">
        <v>5</v>
      </c>
      <c r="D351" s="20">
        <f t="shared" si="20"/>
        <v>5.5149700598802394</v>
      </c>
      <c r="E351" s="20">
        <f t="shared" si="21"/>
        <v>0.26519416257305733</v>
      </c>
      <c r="F351" s="20">
        <f t="shared" si="22"/>
        <v>0.51497005988023936</v>
      </c>
      <c r="G351" s="21">
        <f t="shared" si="23"/>
        <v>234</v>
      </c>
    </row>
    <row r="352" spans="1:7" x14ac:dyDescent="0.25">
      <c r="A352" s="4">
        <v>277</v>
      </c>
      <c r="B352" s="4">
        <v>7</v>
      </c>
      <c r="C352" s="4">
        <v>6</v>
      </c>
      <c r="D352" s="20">
        <f t="shared" si="20"/>
        <v>5.5149700598802394</v>
      </c>
      <c r="E352" s="20">
        <f t="shared" si="21"/>
        <v>0.23525404281257858</v>
      </c>
      <c r="F352" s="20">
        <f t="shared" si="22"/>
        <v>0.48502994011976064</v>
      </c>
      <c r="G352" s="21">
        <f t="shared" si="23"/>
        <v>328</v>
      </c>
    </row>
    <row r="353" spans="1:7" x14ac:dyDescent="0.25">
      <c r="A353" s="4">
        <v>283</v>
      </c>
      <c r="B353" s="4">
        <v>7</v>
      </c>
      <c r="C353" s="4">
        <v>4</v>
      </c>
      <c r="D353" s="20">
        <f t="shared" si="20"/>
        <v>5.5149700598802394</v>
      </c>
      <c r="E353" s="20">
        <f t="shared" si="21"/>
        <v>2.2951342823335361</v>
      </c>
      <c r="F353" s="20">
        <f t="shared" si="22"/>
        <v>1.5149700598802394</v>
      </c>
      <c r="G353" s="21">
        <f t="shared" si="23"/>
        <v>112.5</v>
      </c>
    </row>
    <row r="354" spans="1:7" x14ac:dyDescent="0.25">
      <c r="A354" s="4">
        <v>289</v>
      </c>
      <c r="B354" s="4">
        <v>7</v>
      </c>
      <c r="C354" s="4">
        <v>6</v>
      </c>
      <c r="D354" s="20">
        <f t="shared" si="20"/>
        <v>5.5149700598802394</v>
      </c>
      <c r="E354" s="20">
        <f t="shared" si="21"/>
        <v>0.23525404281257858</v>
      </c>
      <c r="F354" s="20">
        <f t="shared" si="22"/>
        <v>0.48502994011976064</v>
      </c>
      <c r="G354" s="21">
        <f t="shared" si="23"/>
        <v>328</v>
      </c>
    </row>
    <row r="355" spans="1:7" x14ac:dyDescent="0.25">
      <c r="A355" s="4">
        <v>291</v>
      </c>
      <c r="B355" s="4">
        <v>7</v>
      </c>
      <c r="C355" s="4">
        <v>6</v>
      </c>
      <c r="D355" s="20">
        <f t="shared" si="20"/>
        <v>5.5149700598802394</v>
      </c>
      <c r="E355" s="20">
        <f t="shared" si="21"/>
        <v>0.23525404281257858</v>
      </c>
      <c r="F355" s="20">
        <f t="shared" si="22"/>
        <v>0.48502994011976064</v>
      </c>
      <c r="G355" s="21">
        <f t="shared" si="23"/>
        <v>328</v>
      </c>
    </row>
    <row r="356" spans="1:7" x14ac:dyDescent="0.25">
      <c r="A356" s="4">
        <v>294</v>
      </c>
      <c r="B356" s="4">
        <v>7</v>
      </c>
      <c r="C356" s="4">
        <v>6</v>
      </c>
      <c r="D356" s="20">
        <f t="shared" si="20"/>
        <v>5.5149700598802394</v>
      </c>
      <c r="E356" s="20">
        <f t="shared" si="21"/>
        <v>0.23525404281257858</v>
      </c>
      <c r="F356" s="20">
        <f t="shared" si="22"/>
        <v>0.48502994011976064</v>
      </c>
      <c r="G356" s="21">
        <f t="shared" si="23"/>
        <v>328</v>
      </c>
    </row>
    <row r="357" spans="1:7" x14ac:dyDescent="0.25">
      <c r="A357" s="4">
        <v>295</v>
      </c>
      <c r="B357" s="4">
        <v>7</v>
      </c>
      <c r="C357" s="4">
        <v>6</v>
      </c>
      <c r="D357" s="20">
        <f t="shared" si="20"/>
        <v>5.5149700598802394</v>
      </c>
      <c r="E357" s="20">
        <f t="shared" si="21"/>
        <v>0.23525404281257858</v>
      </c>
      <c r="F357" s="20">
        <f t="shared" si="22"/>
        <v>0.48502994011976064</v>
      </c>
      <c r="G357" s="21">
        <f t="shared" si="23"/>
        <v>328</v>
      </c>
    </row>
    <row r="358" spans="1:7" x14ac:dyDescent="0.25">
      <c r="A358" s="4">
        <v>296</v>
      </c>
      <c r="B358" s="4">
        <v>7</v>
      </c>
      <c r="C358" s="4">
        <v>7</v>
      </c>
      <c r="D358" s="20">
        <f t="shared" si="20"/>
        <v>5.5149700598802394</v>
      </c>
      <c r="E358" s="20">
        <f t="shared" si="21"/>
        <v>2.2053139230520999</v>
      </c>
      <c r="F358" s="20">
        <f t="shared" si="22"/>
        <v>1.4850299401197606</v>
      </c>
      <c r="G358" s="21">
        <f t="shared" si="23"/>
        <v>390</v>
      </c>
    </row>
    <row r="359" spans="1:7" x14ac:dyDescent="0.25">
      <c r="A359" s="4">
        <v>297</v>
      </c>
      <c r="B359" s="4">
        <v>7</v>
      </c>
      <c r="C359" s="4">
        <v>6</v>
      </c>
      <c r="D359" s="20">
        <f t="shared" si="20"/>
        <v>5.5149700598802394</v>
      </c>
      <c r="E359" s="20">
        <f t="shared" si="21"/>
        <v>0.23525404281257858</v>
      </c>
      <c r="F359" s="20">
        <f t="shared" si="22"/>
        <v>0.48502994011976064</v>
      </c>
      <c r="G359" s="21">
        <f t="shared" si="23"/>
        <v>328</v>
      </c>
    </row>
    <row r="360" spans="1:7" x14ac:dyDescent="0.25">
      <c r="A360" s="4">
        <v>299</v>
      </c>
      <c r="B360" s="4">
        <v>7</v>
      </c>
      <c r="C360" s="4">
        <v>5</v>
      </c>
      <c r="D360" s="20">
        <f t="shared" si="20"/>
        <v>5.5149700598802394</v>
      </c>
      <c r="E360" s="20">
        <f t="shared" si="21"/>
        <v>0.26519416257305733</v>
      </c>
      <c r="F360" s="20">
        <f t="shared" si="22"/>
        <v>0.51497005988023936</v>
      </c>
      <c r="G360" s="21">
        <f t="shared" si="23"/>
        <v>234</v>
      </c>
    </row>
    <row r="361" spans="1:7" x14ac:dyDescent="0.25">
      <c r="A361" s="4">
        <v>300</v>
      </c>
      <c r="B361" s="4">
        <v>7</v>
      </c>
      <c r="C361" s="4">
        <v>7</v>
      </c>
      <c r="D361" s="20">
        <f t="shared" si="20"/>
        <v>5.5149700598802394</v>
      </c>
      <c r="E361" s="20">
        <f t="shared" si="21"/>
        <v>2.2053139230520999</v>
      </c>
      <c r="F361" s="20">
        <f t="shared" si="22"/>
        <v>1.4850299401197606</v>
      </c>
      <c r="G361" s="21">
        <f t="shared" si="23"/>
        <v>390</v>
      </c>
    </row>
    <row r="362" spans="1:7" x14ac:dyDescent="0.25">
      <c r="A362" s="4">
        <v>301</v>
      </c>
      <c r="B362" s="4">
        <v>7</v>
      </c>
      <c r="C362" s="4">
        <v>5</v>
      </c>
      <c r="D362" s="20">
        <f t="shared" si="20"/>
        <v>5.5149700598802394</v>
      </c>
      <c r="E362" s="20">
        <f t="shared" si="21"/>
        <v>0.26519416257305733</v>
      </c>
      <c r="F362" s="20">
        <f t="shared" si="22"/>
        <v>0.51497005988023936</v>
      </c>
      <c r="G362" s="21">
        <f t="shared" si="23"/>
        <v>234</v>
      </c>
    </row>
    <row r="363" spans="1:7" x14ac:dyDescent="0.25">
      <c r="A363" s="4">
        <v>302</v>
      </c>
      <c r="B363" s="4">
        <v>7</v>
      </c>
      <c r="C363" s="4">
        <v>5</v>
      </c>
      <c r="D363" s="20">
        <f t="shared" si="20"/>
        <v>5.5149700598802394</v>
      </c>
      <c r="E363" s="20">
        <f t="shared" si="21"/>
        <v>0.26519416257305733</v>
      </c>
      <c r="F363" s="20">
        <f t="shared" si="22"/>
        <v>0.51497005988023936</v>
      </c>
      <c r="G363" s="21">
        <f t="shared" si="23"/>
        <v>234</v>
      </c>
    </row>
    <row r="364" spans="1:7" x14ac:dyDescent="0.25">
      <c r="A364" s="4">
        <v>303</v>
      </c>
      <c r="B364" s="4">
        <v>7</v>
      </c>
      <c r="C364" s="4">
        <v>6</v>
      </c>
      <c r="D364" s="20">
        <f t="shared" si="20"/>
        <v>5.5149700598802394</v>
      </c>
      <c r="E364" s="20">
        <f t="shared" si="21"/>
        <v>0.23525404281257858</v>
      </c>
      <c r="F364" s="20">
        <f t="shared" si="22"/>
        <v>0.48502994011976064</v>
      </c>
      <c r="G364" s="21">
        <f t="shared" si="23"/>
        <v>328</v>
      </c>
    </row>
    <row r="365" spans="1:7" x14ac:dyDescent="0.25">
      <c r="A365" s="4">
        <v>304</v>
      </c>
      <c r="B365" s="4">
        <v>7</v>
      </c>
      <c r="C365" s="4">
        <v>4</v>
      </c>
      <c r="D365" s="20">
        <f t="shared" si="20"/>
        <v>5.5149700598802394</v>
      </c>
      <c r="E365" s="20">
        <f t="shared" si="21"/>
        <v>2.2951342823335361</v>
      </c>
      <c r="F365" s="20">
        <f t="shared" si="22"/>
        <v>1.5149700598802394</v>
      </c>
      <c r="G365" s="21">
        <f t="shared" si="23"/>
        <v>112.5</v>
      </c>
    </row>
    <row r="366" spans="1:7" x14ac:dyDescent="0.25">
      <c r="A366" s="4">
        <v>305</v>
      </c>
      <c r="B366" s="4">
        <v>7</v>
      </c>
      <c r="C366" s="4">
        <v>7</v>
      </c>
      <c r="D366" s="20">
        <f t="shared" si="20"/>
        <v>5.5149700598802394</v>
      </c>
      <c r="E366" s="20">
        <f t="shared" si="21"/>
        <v>2.2053139230520999</v>
      </c>
      <c r="F366" s="20">
        <f t="shared" si="22"/>
        <v>1.4850299401197606</v>
      </c>
      <c r="G366" s="21">
        <f t="shared" si="23"/>
        <v>390</v>
      </c>
    </row>
    <row r="367" spans="1:7" x14ac:dyDescent="0.25">
      <c r="A367" s="4">
        <v>307</v>
      </c>
      <c r="B367" s="4">
        <v>7</v>
      </c>
      <c r="C367" s="4">
        <v>4</v>
      </c>
      <c r="D367" s="20">
        <f t="shared" si="20"/>
        <v>5.5149700598802394</v>
      </c>
      <c r="E367" s="20">
        <f t="shared" si="21"/>
        <v>2.2951342823335361</v>
      </c>
      <c r="F367" s="20">
        <f t="shared" si="22"/>
        <v>1.5149700598802394</v>
      </c>
      <c r="G367" s="21">
        <f t="shared" si="23"/>
        <v>112.5</v>
      </c>
    </row>
    <row r="368" spans="1:7" x14ac:dyDescent="0.25">
      <c r="A368" s="4">
        <v>312</v>
      </c>
      <c r="B368" s="4">
        <v>7</v>
      </c>
      <c r="C368" s="4">
        <v>7</v>
      </c>
      <c r="D368" s="20">
        <f t="shared" si="20"/>
        <v>5.5149700598802394</v>
      </c>
      <c r="E368" s="20">
        <f t="shared" si="21"/>
        <v>2.2053139230520999</v>
      </c>
      <c r="F368" s="20">
        <f t="shared" si="22"/>
        <v>1.4850299401197606</v>
      </c>
      <c r="G368" s="21">
        <f t="shared" si="23"/>
        <v>390</v>
      </c>
    </row>
    <row r="369" spans="1:7" x14ac:dyDescent="0.25">
      <c r="A369" s="4">
        <v>316</v>
      </c>
      <c r="B369" s="4">
        <v>7</v>
      </c>
      <c r="C369" s="4">
        <v>6</v>
      </c>
      <c r="D369" s="20">
        <f t="shared" si="20"/>
        <v>5.5149700598802394</v>
      </c>
      <c r="E369" s="20">
        <f t="shared" si="21"/>
        <v>0.23525404281257858</v>
      </c>
      <c r="F369" s="20">
        <f t="shared" si="22"/>
        <v>0.48502994011976064</v>
      </c>
      <c r="G369" s="21">
        <f t="shared" si="23"/>
        <v>328</v>
      </c>
    </row>
    <row r="370" spans="1:7" x14ac:dyDescent="0.25">
      <c r="A370" s="4">
        <v>318</v>
      </c>
      <c r="B370" s="4">
        <v>7</v>
      </c>
      <c r="C370" s="4">
        <v>4</v>
      </c>
      <c r="D370" s="20">
        <f t="shared" si="20"/>
        <v>5.5149700598802394</v>
      </c>
      <c r="E370" s="20">
        <f t="shared" si="21"/>
        <v>2.2951342823335361</v>
      </c>
      <c r="F370" s="20">
        <f t="shared" si="22"/>
        <v>1.5149700598802394</v>
      </c>
      <c r="G370" s="21">
        <f t="shared" si="23"/>
        <v>112.5</v>
      </c>
    </row>
    <row r="371" spans="1:7" x14ac:dyDescent="0.25">
      <c r="A371" s="4">
        <v>325</v>
      </c>
      <c r="B371" s="4">
        <v>7</v>
      </c>
      <c r="C371" s="4">
        <v>6</v>
      </c>
      <c r="D371" s="20">
        <f t="shared" si="20"/>
        <v>5.5149700598802394</v>
      </c>
      <c r="E371" s="20">
        <f t="shared" si="21"/>
        <v>0.23525404281257858</v>
      </c>
      <c r="F371" s="20">
        <f t="shared" si="22"/>
        <v>0.48502994011976064</v>
      </c>
      <c r="G371" s="21">
        <f t="shared" si="23"/>
        <v>328</v>
      </c>
    </row>
    <row r="372" spans="1:7" x14ac:dyDescent="0.25">
      <c r="A372" s="4">
        <v>326</v>
      </c>
      <c r="B372" s="4">
        <v>7</v>
      </c>
      <c r="C372" s="4">
        <v>6</v>
      </c>
      <c r="D372" s="20">
        <f t="shared" si="20"/>
        <v>5.5149700598802394</v>
      </c>
      <c r="E372" s="20">
        <f t="shared" si="21"/>
        <v>0.23525404281257858</v>
      </c>
      <c r="F372" s="20">
        <f t="shared" si="22"/>
        <v>0.48502994011976064</v>
      </c>
      <c r="G372" s="21">
        <f t="shared" si="23"/>
        <v>328</v>
      </c>
    </row>
    <row r="373" spans="1:7" x14ac:dyDescent="0.25">
      <c r="A373" s="4">
        <v>327</v>
      </c>
      <c r="B373" s="4">
        <v>7</v>
      </c>
      <c r="C373" s="4">
        <v>6</v>
      </c>
      <c r="D373" s="20">
        <f t="shared" si="20"/>
        <v>5.5149700598802394</v>
      </c>
      <c r="E373" s="20">
        <f t="shared" si="21"/>
        <v>0.23525404281257858</v>
      </c>
      <c r="F373" s="20">
        <f t="shared" si="22"/>
        <v>0.48502994011976064</v>
      </c>
      <c r="G373" s="21">
        <f t="shared" si="23"/>
        <v>328</v>
      </c>
    </row>
    <row r="374" spans="1:7" x14ac:dyDescent="0.25">
      <c r="A374" s="4">
        <v>328</v>
      </c>
      <c r="B374" s="4">
        <v>7</v>
      </c>
      <c r="C374" s="4">
        <v>4</v>
      </c>
      <c r="D374" s="20">
        <f t="shared" si="20"/>
        <v>5.5149700598802394</v>
      </c>
      <c r="E374" s="20">
        <f t="shared" si="21"/>
        <v>2.2951342823335361</v>
      </c>
      <c r="F374" s="20">
        <f t="shared" si="22"/>
        <v>1.5149700598802394</v>
      </c>
      <c r="G374" s="21">
        <f t="shared" si="23"/>
        <v>112.5</v>
      </c>
    </row>
    <row r="375" spans="1:7" x14ac:dyDescent="0.25">
      <c r="A375" s="4">
        <v>329</v>
      </c>
      <c r="B375" s="4">
        <v>7</v>
      </c>
      <c r="C375" s="4">
        <v>4</v>
      </c>
      <c r="D375" s="20">
        <f t="shared" si="20"/>
        <v>5.5149700598802394</v>
      </c>
      <c r="E375" s="20">
        <f t="shared" si="21"/>
        <v>2.2951342823335361</v>
      </c>
      <c r="F375" s="20">
        <f t="shared" si="22"/>
        <v>1.5149700598802394</v>
      </c>
      <c r="G375" s="21">
        <f t="shared" si="23"/>
        <v>112.5</v>
      </c>
    </row>
    <row r="376" spans="1:7" x14ac:dyDescent="0.25">
      <c r="A376" s="4">
        <v>336</v>
      </c>
      <c r="B376" s="4">
        <v>7</v>
      </c>
      <c r="C376" s="4">
        <v>7</v>
      </c>
      <c r="D376" s="20">
        <f t="shared" si="20"/>
        <v>5.5149700598802394</v>
      </c>
      <c r="E376" s="20">
        <f t="shared" si="21"/>
        <v>2.2053139230520999</v>
      </c>
      <c r="F376" s="20">
        <f t="shared" si="22"/>
        <v>1.4850299401197606</v>
      </c>
      <c r="G376" s="21">
        <f t="shared" si="23"/>
        <v>390</v>
      </c>
    </row>
    <row r="377" spans="1:7" x14ac:dyDescent="0.25">
      <c r="A377" s="4">
        <v>337</v>
      </c>
      <c r="B377" s="4">
        <v>7</v>
      </c>
      <c r="C377" s="4">
        <v>6</v>
      </c>
      <c r="D377" s="20">
        <f t="shared" si="20"/>
        <v>5.5149700598802394</v>
      </c>
      <c r="E377" s="20">
        <f t="shared" si="21"/>
        <v>0.23525404281257858</v>
      </c>
      <c r="F377" s="20">
        <f t="shared" si="22"/>
        <v>0.48502994011976064</v>
      </c>
      <c r="G377" s="21">
        <f t="shared" si="23"/>
        <v>328</v>
      </c>
    </row>
    <row r="378" spans="1:7" x14ac:dyDescent="0.25">
      <c r="A378" s="4">
        <v>341</v>
      </c>
      <c r="B378" s="4">
        <v>7</v>
      </c>
      <c r="C378" s="4">
        <v>6</v>
      </c>
      <c r="D378" s="20">
        <f t="shared" si="20"/>
        <v>5.5149700598802394</v>
      </c>
      <c r="E378" s="20">
        <f t="shared" si="21"/>
        <v>0.23525404281257858</v>
      </c>
      <c r="F378" s="20">
        <f t="shared" si="22"/>
        <v>0.48502994011976064</v>
      </c>
      <c r="G378" s="21">
        <f t="shared" si="23"/>
        <v>328</v>
      </c>
    </row>
    <row r="379" spans="1:7" x14ac:dyDescent="0.25">
      <c r="A379" s="4">
        <v>347</v>
      </c>
      <c r="B379" s="4">
        <v>7</v>
      </c>
      <c r="C379" s="4">
        <v>5</v>
      </c>
      <c r="D379" s="20">
        <f t="shared" si="20"/>
        <v>5.5149700598802394</v>
      </c>
      <c r="E379" s="20">
        <f t="shared" si="21"/>
        <v>0.26519416257305733</v>
      </c>
      <c r="F379" s="20">
        <f t="shared" si="22"/>
        <v>0.51497005988023936</v>
      </c>
      <c r="G379" s="21">
        <f t="shared" si="23"/>
        <v>234</v>
      </c>
    </row>
    <row r="380" spans="1:7" x14ac:dyDescent="0.25">
      <c r="A380" s="4">
        <v>353</v>
      </c>
      <c r="B380" s="4">
        <v>7</v>
      </c>
      <c r="C380" s="4">
        <v>5</v>
      </c>
      <c r="D380" s="20">
        <f t="shared" si="20"/>
        <v>5.5149700598802394</v>
      </c>
      <c r="E380" s="20">
        <f t="shared" si="21"/>
        <v>0.26519416257305733</v>
      </c>
      <c r="F380" s="20">
        <f t="shared" si="22"/>
        <v>0.51497005988023936</v>
      </c>
      <c r="G380" s="21">
        <f t="shared" si="23"/>
        <v>234</v>
      </c>
    </row>
    <row r="381" spans="1:7" x14ac:dyDescent="0.25">
      <c r="A381" s="4">
        <v>355</v>
      </c>
      <c r="B381" s="4">
        <v>7</v>
      </c>
      <c r="C381" s="4">
        <v>7</v>
      </c>
      <c r="D381" s="20">
        <f t="shared" si="20"/>
        <v>5.5149700598802394</v>
      </c>
      <c r="E381" s="20">
        <f t="shared" si="21"/>
        <v>2.2053139230520999</v>
      </c>
      <c r="F381" s="20">
        <f t="shared" si="22"/>
        <v>1.4850299401197606</v>
      </c>
      <c r="G381" s="21">
        <f t="shared" si="23"/>
        <v>390</v>
      </c>
    </row>
    <row r="382" spans="1:7" x14ac:dyDescent="0.25">
      <c r="A382" s="4">
        <v>358</v>
      </c>
      <c r="B382" s="4">
        <v>7</v>
      </c>
      <c r="C382" s="4">
        <v>6</v>
      </c>
      <c r="D382" s="20">
        <f t="shared" si="20"/>
        <v>5.5149700598802394</v>
      </c>
      <c r="E382" s="20">
        <f t="shared" si="21"/>
        <v>0.23525404281257858</v>
      </c>
      <c r="F382" s="20">
        <f t="shared" si="22"/>
        <v>0.48502994011976064</v>
      </c>
      <c r="G382" s="21">
        <f t="shared" si="23"/>
        <v>328</v>
      </c>
    </row>
    <row r="383" spans="1:7" x14ac:dyDescent="0.25">
      <c r="A383" s="4">
        <v>359</v>
      </c>
      <c r="B383" s="4">
        <v>7</v>
      </c>
      <c r="C383" s="4">
        <v>6</v>
      </c>
      <c r="D383" s="20">
        <f t="shared" si="20"/>
        <v>5.5149700598802394</v>
      </c>
      <c r="E383" s="20">
        <f t="shared" si="21"/>
        <v>0.23525404281257858</v>
      </c>
      <c r="F383" s="20">
        <f t="shared" si="22"/>
        <v>0.48502994011976064</v>
      </c>
      <c r="G383" s="21">
        <f t="shared" si="23"/>
        <v>328</v>
      </c>
    </row>
    <row r="384" spans="1:7" x14ac:dyDescent="0.25">
      <c r="A384" s="4">
        <v>360</v>
      </c>
      <c r="B384" s="4">
        <v>7</v>
      </c>
      <c r="C384" s="4">
        <v>5</v>
      </c>
      <c r="D384" s="20">
        <f t="shared" si="20"/>
        <v>5.5149700598802394</v>
      </c>
      <c r="E384" s="20">
        <f t="shared" si="21"/>
        <v>0.26519416257305733</v>
      </c>
      <c r="F384" s="20">
        <f t="shared" si="22"/>
        <v>0.51497005988023936</v>
      </c>
      <c r="G384" s="21">
        <f t="shared" si="23"/>
        <v>234</v>
      </c>
    </row>
    <row r="385" spans="1:7" x14ac:dyDescent="0.25">
      <c r="A385" s="4">
        <v>362</v>
      </c>
      <c r="B385" s="4">
        <v>7</v>
      </c>
      <c r="C385" s="4">
        <v>5</v>
      </c>
      <c r="D385" s="20">
        <f t="shared" si="20"/>
        <v>5.5149700598802394</v>
      </c>
      <c r="E385" s="20">
        <f t="shared" si="21"/>
        <v>0.26519416257305733</v>
      </c>
      <c r="F385" s="20">
        <f t="shared" si="22"/>
        <v>0.51497005988023936</v>
      </c>
      <c r="G385" s="21">
        <f t="shared" si="23"/>
        <v>234</v>
      </c>
    </row>
    <row r="386" spans="1:7" x14ac:dyDescent="0.25">
      <c r="A386" s="4">
        <v>363</v>
      </c>
      <c r="B386" s="4">
        <v>7</v>
      </c>
      <c r="C386" s="4">
        <v>6</v>
      </c>
      <c r="D386" s="20">
        <f t="shared" ref="D386:D406" si="24">AVERAGEIF($B$2:$B$406,B386,$C$2:$C$406)</f>
        <v>5.5149700598802394</v>
      </c>
      <c r="E386" s="20">
        <f t="shared" ref="E386:E449" si="25">(C386-D386)^2</f>
        <v>0.23525404281257858</v>
      </c>
      <c r="F386" s="20">
        <f t="shared" ref="F386:F406" si="26">ABS(C386-D386)</f>
        <v>0.48502994011976064</v>
      </c>
      <c r="G386" s="21">
        <f t="shared" ref="G386:G406" si="27">_xlfn.RANK.AVG(C386,$C$2:$C$406,1)</f>
        <v>328</v>
      </c>
    </row>
    <row r="387" spans="1:7" x14ac:dyDescent="0.25">
      <c r="A387" s="4">
        <v>364</v>
      </c>
      <c r="B387" s="4">
        <v>7</v>
      </c>
      <c r="C387" s="4">
        <v>5</v>
      </c>
      <c r="D387" s="20">
        <f t="shared" si="24"/>
        <v>5.5149700598802394</v>
      </c>
      <c r="E387" s="20">
        <f t="shared" si="25"/>
        <v>0.26519416257305733</v>
      </c>
      <c r="F387" s="20">
        <f t="shared" si="26"/>
        <v>0.51497005988023936</v>
      </c>
      <c r="G387" s="21">
        <f t="shared" si="27"/>
        <v>234</v>
      </c>
    </row>
    <row r="388" spans="1:7" x14ac:dyDescent="0.25">
      <c r="A388" s="4">
        <v>365</v>
      </c>
      <c r="B388" s="4">
        <v>7</v>
      </c>
      <c r="C388" s="4">
        <v>5</v>
      </c>
      <c r="D388" s="20">
        <f t="shared" si="24"/>
        <v>5.5149700598802394</v>
      </c>
      <c r="E388" s="20">
        <f t="shared" si="25"/>
        <v>0.26519416257305733</v>
      </c>
      <c r="F388" s="20">
        <f t="shared" si="26"/>
        <v>0.51497005988023936</v>
      </c>
      <c r="G388" s="21">
        <f t="shared" si="27"/>
        <v>234</v>
      </c>
    </row>
    <row r="389" spans="1:7" x14ac:dyDescent="0.25">
      <c r="A389" s="4">
        <v>366</v>
      </c>
      <c r="B389" s="4">
        <v>7</v>
      </c>
      <c r="C389" s="4">
        <v>6</v>
      </c>
      <c r="D389" s="20">
        <f t="shared" si="24"/>
        <v>5.5149700598802394</v>
      </c>
      <c r="E389" s="20">
        <f t="shared" si="25"/>
        <v>0.23525404281257858</v>
      </c>
      <c r="F389" s="20">
        <f t="shared" si="26"/>
        <v>0.48502994011976064</v>
      </c>
      <c r="G389" s="21">
        <f t="shared" si="27"/>
        <v>328</v>
      </c>
    </row>
    <row r="390" spans="1:7" x14ac:dyDescent="0.25">
      <c r="A390" s="4">
        <v>367</v>
      </c>
      <c r="B390" s="4">
        <v>7</v>
      </c>
      <c r="C390" s="4">
        <v>4</v>
      </c>
      <c r="D390" s="20">
        <f t="shared" si="24"/>
        <v>5.5149700598802394</v>
      </c>
      <c r="E390" s="20">
        <f t="shared" si="25"/>
        <v>2.2951342823335361</v>
      </c>
      <c r="F390" s="20">
        <f t="shared" si="26"/>
        <v>1.5149700598802394</v>
      </c>
      <c r="G390" s="21">
        <f t="shared" si="27"/>
        <v>112.5</v>
      </c>
    </row>
    <row r="391" spans="1:7" x14ac:dyDescent="0.25">
      <c r="A391" s="4">
        <v>368</v>
      </c>
      <c r="B391" s="4">
        <v>7</v>
      </c>
      <c r="C391" s="4">
        <v>7</v>
      </c>
      <c r="D391" s="20">
        <f t="shared" si="24"/>
        <v>5.5149700598802394</v>
      </c>
      <c r="E391" s="20">
        <f t="shared" si="25"/>
        <v>2.2053139230520999</v>
      </c>
      <c r="F391" s="20">
        <f t="shared" si="26"/>
        <v>1.4850299401197606</v>
      </c>
      <c r="G391" s="21">
        <f t="shared" si="27"/>
        <v>390</v>
      </c>
    </row>
    <row r="392" spans="1:7" x14ac:dyDescent="0.25">
      <c r="A392" s="4">
        <v>370</v>
      </c>
      <c r="B392" s="4">
        <v>7</v>
      </c>
      <c r="C392" s="4">
        <v>4</v>
      </c>
      <c r="D392" s="20">
        <f t="shared" si="24"/>
        <v>5.5149700598802394</v>
      </c>
      <c r="E392" s="20">
        <f t="shared" si="25"/>
        <v>2.2951342823335361</v>
      </c>
      <c r="F392" s="20">
        <f t="shared" si="26"/>
        <v>1.5149700598802394</v>
      </c>
      <c r="G392" s="21">
        <f t="shared" si="27"/>
        <v>112.5</v>
      </c>
    </row>
    <row r="393" spans="1:7" x14ac:dyDescent="0.25">
      <c r="A393" s="4">
        <v>375</v>
      </c>
      <c r="B393" s="4">
        <v>7</v>
      </c>
      <c r="C393" s="4">
        <v>5</v>
      </c>
      <c r="D393" s="20">
        <f t="shared" si="24"/>
        <v>5.5149700598802394</v>
      </c>
      <c r="E393" s="20">
        <f t="shared" si="25"/>
        <v>0.26519416257305733</v>
      </c>
      <c r="F393" s="20">
        <f t="shared" si="26"/>
        <v>0.51497005988023936</v>
      </c>
      <c r="G393" s="21">
        <f t="shared" si="27"/>
        <v>234</v>
      </c>
    </row>
    <row r="394" spans="1:7" x14ac:dyDescent="0.25">
      <c r="A394" s="4">
        <v>379</v>
      </c>
      <c r="B394" s="4">
        <v>7</v>
      </c>
      <c r="C394" s="4">
        <v>6</v>
      </c>
      <c r="D394" s="20">
        <f t="shared" si="24"/>
        <v>5.5149700598802394</v>
      </c>
      <c r="E394" s="20">
        <f t="shared" si="25"/>
        <v>0.23525404281257858</v>
      </c>
      <c r="F394" s="20">
        <f t="shared" si="26"/>
        <v>0.48502994011976064</v>
      </c>
      <c r="G394" s="21">
        <f t="shared" si="27"/>
        <v>328</v>
      </c>
    </row>
    <row r="395" spans="1:7" x14ac:dyDescent="0.25">
      <c r="A395" s="4">
        <v>381</v>
      </c>
      <c r="B395" s="4">
        <v>7</v>
      </c>
      <c r="C395" s="4">
        <v>4</v>
      </c>
      <c r="D395" s="20">
        <f t="shared" si="24"/>
        <v>5.5149700598802394</v>
      </c>
      <c r="E395" s="20">
        <f t="shared" si="25"/>
        <v>2.2951342823335361</v>
      </c>
      <c r="F395" s="20">
        <f t="shared" si="26"/>
        <v>1.5149700598802394</v>
      </c>
      <c r="G395" s="21">
        <f t="shared" si="27"/>
        <v>112.5</v>
      </c>
    </row>
    <row r="396" spans="1:7" x14ac:dyDescent="0.25">
      <c r="A396" s="4">
        <v>387</v>
      </c>
      <c r="B396" s="4">
        <v>7</v>
      </c>
      <c r="C396" s="4">
        <v>6</v>
      </c>
      <c r="D396" s="20">
        <f t="shared" si="24"/>
        <v>5.5149700598802394</v>
      </c>
      <c r="E396" s="20">
        <f t="shared" si="25"/>
        <v>0.23525404281257858</v>
      </c>
      <c r="F396" s="20">
        <f t="shared" si="26"/>
        <v>0.48502994011976064</v>
      </c>
      <c r="G396" s="21">
        <f t="shared" si="27"/>
        <v>328</v>
      </c>
    </row>
    <row r="397" spans="1:7" x14ac:dyDescent="0.25">
      <c r="A397" s="4">
        <v>388</v>
      </c>
      <c r="B397" s="4">
        <v>7</v>
      </c>
      <c r="C397" s="4">
        <v>6</v>
      </c>
      <c r="D397" s="20">
        <f t="shared" si="24"/>
        <v>5.5149700598802394</v>
      </c>
      <c r="E397" s="20">
        <f t="shared" si="25"/>
        <v>0.23525404281257858</v>
      </c>
      <c r="F397" s="20">
        <f t="shared" si="26"/>
        <v>0.48502994011976064</v>
      </c>
      <c r="G397" s="21">
        <f t="shared" si="27"/>
        <v>328</v>
      </c>
    </row>
    <row r="398" spans="1:7" x14ac:dyDescent="0.25">
      <c r="A398" s="4">
        <v>389</v>
      </c>
      <c r="B398" s="4">
        <v>7</v>
      </c>
      <c r="C398" s="4">
        <v>6</v>
      </c>
      <c r="D398" s="20">
        <f t="shared" si="24"/>
        <v>5.5149700598802394</v>
      </c>
      <c r="E398" s="20">
        <f t="shared" si="25"/>
        <v>0.23525404281257858</v>
      </c>
      <c r="F398" s="20">
        <f t="shared" si="26"/>
        <v>0.48502994011976064</v>
      </c>
      <c r="G398" s="21">
        <f t="shared" si="27"/>
        <v>328</v>
      </c>
    </row>
    <row r="399" spans="1:7" x14ac:dyDescent="0.25">
      <c r="A399" s="4">
        <v>390</v>
      </c>
      <c r="B399" s="4">
        <v>7</v>
      </c>
      <c r="C399" s="4">
        <v>5</v>
      </c>
      <c r="D399" s="20">
        <f t="shared" si="24"/>
        <v>5.5149700598802394</v>
      </c>
      <c r="E399" s="20">
        <f t="shared" si="25"/>
        <v>0.26519416257305733</v>
      </c>
      <c r="F399" s="20">
        <f t="shared" si="26"/>
        <v>0.51497005988023936</v>
      </c>
      <c r="G399" s="21">
        <f t="shared" si="27"/>
        <v>234</v>
      </c>
    </row>
    <row r="400" spans="1:7" x14ac:dyDescent="0.25">
      <c r="A400" s="4">
        <v>392</v>
      </c>
      <c r="B400" s="4">
        <v>7</v>
      </c>
      <c r="C400" s="4">
        <v>4</v>
      </c>
      <c r="D400" s="20">
        <f t="shared" si="24"/>
        <v>5.5149700598802394</v>
      </c>
      <c r="E400" s="20">
        <f t="shared" si="25"/>
        <v>2.2951342823335361</v>
      </c>
      <c r="F400" s="20">
        <f t="shared" si="26"/>
        <v>1.5149700598802394</v>
      </c>
      <c r="G400" s="21">
        <f t="shared" si="27"/>
        <v>112.5</v>
      </c>
    </row>
    <row r="401" spans="1:7" x14ac:dyDescent="0.25">
      <c r="A401" s="4">
        <v>393</v>
      </c>
      <c r="B401" s="4">
        <v>7</v>
      </c>
      <c r="C401" s="4">
        <v>7</v>
      </c>
      <c r="D401" s="20">
        <f t="shared" si="24"/>
        <v>5.5149700598802394</v>
      </c>
      <c r="E401" s="20">
        <f t="shared" si="25"/>
        <v>2.2053139230520999</v>
      </c>
      <c r="F401" s="20">
        <f t="shared" si="26"/>
        <v>1.4850299401197606</v>
      </c>
      <c r="G401" s="21">
        <f t="shared" si="27"/>
        <v>390</v>
      </c>
    </row>
    <row r="402" spans="1:7" x14ac:dyDescent="0.25">
      <c r="A402" s="4">
        <v>397</v>
      </c>
      <c r="B402" s="4">
        <v>7</v>
      </c>
      <c r="C402" s="4">
        <v>6</v>
      </c>
      <c r="D402" s="20">
        <f t="shared" si="24"/>
        <v>5.5149700598802394</v>
      </c>
      <c r="E402" s="20">
        <f t="shared" si="25"/>
        <v>0.23525404281257858</v>
      </c>
      <c r="F402" s="20">
        <f t="shared" si="26"/>
        <v>0.48502994011976064</v>
      </c>
      <c r="G402" s="21">
        <f t="shared" si="27"/>
        <v>328</v>
      </c>
    </row>
    <row r="403" spans="1:7" x14ac:dyDescent="0.25">
      <c r="A403" s="4">
        <v>400</v>
      </c>
      <c r="B403" s="4">
        <v>7</v>
      </c>
      <c r="C403" s="4">
        <v>4</v>
      </c>
      <c r="D403" s="20">
        <f t="shared" si="24"/>
        <v>5.5149700598802394</v>
      </c>
      <c r="E403" s="20">
        <f t="shared" si="25"/>
        <v>2.2951342823335361</v>
      </c>
      <c r="F403" s="20">
        <f t="shared" si="26"/>
        <v>1.5149700598802394</v>
      </c>
      <c r="G403" s="21">
        <f t="shared" si="27"/>
        <v>112.5</v>
      </c>
    </row>
    <row r="404" spans="1:7" x14ac:dyDescent="0.25">
      <c r="A404" s="4">
        <v>401</v>
      </c>
      <c r="B404" s="4">
        <v>7</v>
      </c>
      <c r="C404" s="4">
        <v>6</v>
      </c>
      <c r="D404" s="20">
        <f t="shared" si="24"/>
        <v>5.5149700598802394</v>
      </c>
      <c r="E404" s="20">
        <f t="shared" si="25"/>
        <v>0.23525404281257858</v>
      </c>
      <c r="F404" s="20">
        <f t="shared" si="26"/>
        <v>0.48502994011976064</v>
      </c>
      <c r="G404" s="21">
        <f t="shared" si="27"/>
        <v>328</v>
      </c>
    </row>
    <row r="405" spans="1:7" x14ac:dyDescent="0.25">
      <c r="A405" s="4">
        <v>402</v>
      </c>
      <c r="B405" s="4">
        <v>7</v>
      </c>
      <c r="C405" s="4">
        <v>6</v>
      </c>
      <c r="D405" s="20">
        <f t="shared" si="24"/>
        <v>5.5149700598802394</v>
      </c>
      <c r="E405" s="20">
        <f t="shared" si="25"/>
        <v>0.23525404281257858</v>
      </c>
      <c r="F405" s="20">
        <f t="shared" si="26"/>
        <v>0.48502994011976064</v>
      </c>
      <c r="G405" s="21">
        <f t="shared" si="27"/>
        <v>328</v>
      </c>
    </row>
    <row r="406" spans="1:7" x14ac:dyDescent="0.25">
      <c r="A406" s="4">
        <v>403</v>
      </c>
      <c r="B406" s="4">
        <v>7</v>
      </c>
      <c r="C406" s="4">
        <v>6</v>
      </c>
      <c r="D406" s="20">
        <f t="shared" si="24"/>
        <v>5.5149700598802394</v>
      </c>
      <c r="E406" s="20">
        <f t="shared" si="25"/>
        <v>0.23525404281257858</v>
      </c>
      <c r="F406" s="20">
        <f t="shared" si="26"/>
        <v>0.48502994011976064</v>
      </c>
      <c r="G406" s="21">
        <f t="shared" si="27"/>
        <v>328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J58"/>
  <sheetViews>
    <sheetView workbookViewId="0"/>
  </sheetViews>
  <sheetFormatPr defaultRowHeight="15" x14ac:dyDescent="0.25"/>
  <cols>
    <col min="1" max="1" width="44" customWidth="1"/>
    <col min="2" max="2" width="14" customWidth="1"/>
    <col min="3" max="4" width="11" customWidth="1"/>
    <col min="5" max="7" width="12" customWidth="1"/>
    <col min="8" max="8" width="11" customWidth="1"/>
    <col min="9" max="10" width="12" customWidth="1"/>
  </cols>
  <sheetData>
    <row r="1" spans="1:10" ht="18" x14ac:dyDescent="0.25">
      <c r="A1" s="1" t="s">
        <v>153</v>
      </c>
    </row>
    <row r="2" spans="1:10" x14ac:dyDescent="0.25">
      <c r="A2" s="8" t="s">
        <v>154</v>
      </c>
    </row>
    <row r="4" spans="1:10" x14ac:dyDescent="0.25">
      <c r="A4" s="13" t="s">
        <v>118</v>
      </c>
      <c r="B4" s="22">
        <f>Correlation!B4</f>
        <v>0.05</v>
      </c>
    </row>
    <row r="5" spans="1:10" x14ac:dyDescent="0.25">
      <c r="A5" s="13" t="s">
        <v>155</v>
      </c>
      <c r="B5" s="15">
        <f>COUNT(A9:A12)</f>
        <v>4</v>
      </c>
    </row>
    <row r="8" spans="1:10" ht="38.25" x14ac:dyDescent="0.25">
      <c r="A8" s="6" t="s">
        <v>156</v>
      </c>
      <c r="B8" s="6" t="s">
        <v>96</v>
      </c>
      <c r="C8" s="6" t="s">
        <v>157</v>
      </c>
      <c r="D8" s="6" t="s">
        <v>98</v>
      </c>
      <c r="E8" s="6" t="s">
        <v>158</v>
      </c>
      <c r="F8" s="6" t="s">
        <v>159</v>
      </c>
      <c r="G8" s="6" t="s">
        <v>160</v>
      </c>
      <c r="H8" s="6" t="s">
        <v>161</v>
      </c>
      <c r="I8" s="6" t="s">
        <v>162</v>
      </c>
      <c r="J8" s="6" t="s">
        <v>163</v>
      </c>
    </row>
    <row r="9" spans="1:10" x14ac:dyDescent="0.25">
      <c r="A9" s="23">
        <v>4</v>
      </c>
      <c r="B9" s="10">
        <f>COUNTIF('ANOVA Data'!$B$2:$B$406,A9)</f>
        <v>85</v>
      </c>
      <c r="C9" s="11">
        <f>AVERAGEIF('ANOVA Data'!$B$2:$B$406,A9,'ANOVA Data'!$C$2:$C$406)</f>
        <v>3.9882352941176471</v>
      </c>
      <c r="D9" s="18">
        <f>SQRT(E9)</f>
        <v>0.58745045681800756</v>
      </c>
      <c r="E9" s="18">
        <f>H9/(B9-1)</f>
        <v>0.34509803921568583</v>
      </c>
      <c r="F9" s="12">
        <f>SUMIF('ANOVA Data'!$B$2:$B$406,A9,'ANOVA Data'!$G$2:$G$406)</f>
        <v>9644.5</v>
      </c>
      <c r="G9" s="24">
        <f>AVERAGEIF('ANOVA Data'!$B$2:$B$406,A9,'ANOVA Data'!$F$2:$F$406)</f>
        <v>0.25577854671280276</v>
      </c>
      <c r="H9" s="11">
        <f>SUMIF('ANOVA Data'!$B$2:$B$406,A9,'ANOVA Data'!$E$2:$E$406)</f>
        <v>28.988235294117608</v>
      </c>
      <c r="I9" s="18">
        <f>B9/E9</f>
        <v>246.3068181818185</v>
      </c>
      <c r="J9" s="25">
        <f>(1-I9/SUM($I$9:$I$12))^2/(B9-1)</f>
        <v>4.2001621027642419E-3</v>
      </c>
    </row>
    <row r="10" spans="1:10" x14ac:dyDescent="0.25">
      <c r="A10" s="23">
        <v>5</v>
      </c>
      <c r="B10" s="10">
        <f>COUNTIF('ANOVA Data'!$B$2:$B$406,A10)</f>
        <v>93</v>
      </c>
      <c r="C10" s="11">
        <f>AVERAGEIF('ANOVA Data'!$B$2:$B$406,A10,'ANOVA Data'!$C$2:$C$406)</f>
        <v>4.354838709677419</v>
      </c>
      <c r="D10" s="18">
        <f>SQRT(E10)</f>
        <v>0.77523013820473041</v>
      </c>
      <c r="E10" s="18">
        <f>H10/(B10-1)</f>
        <v>0.60098176718092544</v>
      </c>
      <c r="F10" s="12">
        <f>SUMIF('ANOVA Data'!$B$2:$B$406,A10,'ANOVA Data'!$G$2:$G$406)</f>
        <v>14844.5</v>
      </c>
      <c r="G10" s="24">
        <f>AVERAGEIF('ANOVA Data'!$B$2:$B$406,A10,'ANOVA Data'!$F$2:$F$406)</f>
        <v>0.681234824835241</v>
      </c>
      <c r="H10" s="11">
        <f>SUMIF('ANOVA Data'!$B$2:$B$406,A10,'ANOVA Data'!$E$2:$E$406)</f>
        <v>55.290322580645139</v>
      </c>
      <c r="I10" s="18">
        <f>B10/E10</f>
        <v>154.74679113185536</v>
      </c>
      <c r="J10" s="25">
        <f>(1-I10/SUM($I$9:$I$12))^2/(B10-1)</f>
        <v>6.0314422031168607E-3</v>
      </c>
    </row>
    <row r="11" spans="1:10" x14ac:dyDescent="0.25">
      <c r="A11" s="23">
        <v>6</v>
      </c>
      <c r="B11" s="10">
        <f>COUNTIF('ANOVA Data'!$B$2:$B$406,A11)</f>
        <v>60</v>
      </c>
      <c r="C11" s="11">
        <f>AVERAGEIF('ANOVA Data'!$B$2:$B$406,A11,'ANOVA Data'!$C$2:$C$406)</f>
        <v>4.8499999999999996</v>
      </c>
      <c r="D11" s="18">
        <f>SQRT(E11)</f>
        <v>1.2865009699812555</v>
      </c>
      <c r="E11" s="18">
        <f>H11/(B11-1)</f>
        <v>1.6550847457627111</v>
      </c>
      <c r="F11" s="12">
        <f>SUMIF('ANOVA Data'!$B$2:$B$406,A11,'ANOVA Data'!$G$2:$G$406)</f>
        <v>12354</v>
      </c>
      <c r="G11" s="24">
        <f>AVERAGEIF('ANOVA Data'!$B$2:$B$406,A11,'ANOVA Data'!$F$2:$F$406)</f>
        <v>1.0799999999999998</v>
      </c>
      <c r="H11" s="11">
        <f>SUMIF('ANOVA Data'!$B$2:$B$406,A11,'ANOVA Data'!$E$2:$E$406)</f>
        <v>97.649999999999963</v>
      </c>
      <c r="I11" s="18">
        <f>B11/E11</f>
        <v>36.251920122887881</v>
      </c>
      <c r="J11" s="25">
        <f>(1-I11/SUM($I$9:$I$12))^2/(B11-1)</f>
        <v>1.498396269090904E-2</v>
      </c>
    </row>
    <row r="12" spans="1:10" x14ac:dyDescent="0.25">
      <c r="A12" s="23">
        <v>7</v>
      </c>
      <c r="B12" s="10">
        <f>COUNTIF('ANOVA Data'!$B$2:$B$406,A12)</f>
        <v>167</v>
      </c>
      <c r="C12" s="11">
        <f>AVERAGEIF('ANOVA Data'!$B$2:$B$406,A12,'ANOVA Data'!$C$2:$C$406)</f>
        <v>5.5149700598802394</v>
      </c>
      <c r="D12" s="18">
        <f>SQRT(E12)</f>
        <v>0.99308626534832967</v>
      </c>
      <c r="E12" s="18">
        <f>H12/(B12-1)</f>
        <v>0.98622033042349311</v>
      </c>
      <c r="F12" s="12">
        <f>SUMIF('ANOVA Data'!$B$2:$B$406,A12,'ANOVA Data'!$G$2:$G$406)</f>
        <v>45372</v>
      </c>
      <c r="G12" s="24">
        <f>AVERAGEIF('ANOVA Data'!$B$2:$B$406,A12,'ANOVA Data'!$F$2:$F$406)</f>
        <v>0.86284915199541035</v>
      </c>
      <c r="H12" s="11">
        <f>SUMIF('ANOVA Data'!$B$2:$B$406,A12,'ANOVA Data'!$E$2:$E$406)</f>
        <v>163.71257485029986</v>
      </c>
      <c r="I12" s="18">
        <f>B12/E12</f>
        <v>169.33335771762938</v>
      </c>
      <c r="J12" s="25">
        <f>(1-I12/SUM($I$9:$I$12))^2/(B12-1)</f>
        <v>3.1304109704311401E-3</v>
      </c>
    </row>
    <row r="13" spans="1:10" x14ac:dyDescent="0.25">
      <c r="A13" s="13" t="s">
        <v>164</v>
      </c>
      <c r="B13" s="15">
        <f>SUM(B9:B12)</f>
        <v>405</v>
      </c>
      <c r="C13" s="11">
        <f>AVERAGE('ANOVA Data'!C2:C406)</f>
        <v>4.8296296296296299</v>
      </c>
    </row>
    <row r="15" spans="1:10" x14ac:dyDescent="0.25">
      <c r="A15" s="13" t="s">
        <v>165</v>
      </c>
      <c r="B15" s="17">
        <f>MAX(D9:D12)/MIN(D9:D12)</f>
        <v>2.1899735629617769</v>
      </c>
    </row>
    <row r="17" spans="1:7" x14ac:dyDescent="0.25">
      <c r="A17" s="13" t="s">
        <v>166</v>
      </c>
    </row>
    <row r="18" spans="1:7" x14ac:dyDescent="0.25">
      <c r="A18" s="9" t="s">
        <v>167</v>
      </c>
      <c r="B18" s="24">
        <f>AVERAGE('ANOVA Data'!F2:F406)</f>
        <v>0.72590573719382623</v>
      </c>
    </row>
    <row r="19" spans="1:7" x14ac:dyDescent="0.25">
      <c r="A19" s="9" t="s">
        <v>168</v>
      </c>
      <c r="B19" s="16">
        <f>SUMPRODUCT(B9:B12,(G9:G12-B18)^2)</f>
        <v>29.627043629073025</v>
      </c>
    </row>
    <row r="20" spans="1:7" x14ac:dyDescent="0.25">
      <c r="A20" s="9" t="s">
        <v>169</v>
      </c>
      <c r="B20" s="24">
        <f>DEVSQ('ANOVA Data'!F2:F406)-B19</f>
        <v>102.60373768316995</v>
      </c>
    </row>
    <row r="21" spans="1:7" x14ac:dyDescent="0.25">
      <c r="A21" s="9" t="s">
        <v>170</v>
      </c>
      <c r="B21" s="18">
        <f>(B19/(B5-1))/(B20/(B13-B5))</f>
        <v>38.596529273764219</v>
      </c>
    </row>
    <row r="22" spans="1:7" x14ac:dyDescent="0.25">
      <c r="A22" s="9" t="s">
        <v>171</v>
      </c>
      <c r="B22" s="19">
        <f>_xlfn.F.DIST.RT(B21,B5-1,B13-B5)</f>
        <v>6.2262302588618586E-22</v>
      </c>
    </row>
    <row r="23" spans="1:7" x14ac:dyDescent="0.25">
      <c r="A23" s="9" t="s">
        <v>172</v>
      </c>
      <c r="B23" s="9" t="str">
        <f>IF(B22&lt;B4,"No: variances differ (assumption violated)","Yes")</f>
        <v>No: variances differ (assumption violated)</v>
      </c>
    </row>
    <row r="25" spans="1:7" x14ac:dyDescent="0.25">
      <c r="A25" s="13" t="s">
        <v>173</v>
      </c>
    </row>
    <row r="26" spans="1:7" x14ac:dyDescent="0.25">
      <c r="A26" s="6" t="s">
        <v>174</v>
      </c>
      <c r="B26" s="6" t="s">
        <v>175</v>
      </c>
      <c r="C26" s="6" t="s">
        <v>176</v>
      </c>
      <c r="D26" s="6" t="s">
        <v>177</v>
      </c>
      <c r="E26" s="6" t="s">
        <v>178</v>
      </c>
      <c r="F26" s="6" t="s">
        <v>171</v>
      </c>
      <c r="G26" s="6" t="s">
        <v>179</v>
      </c>
    </row>
    <row r="27" spans="1:7" x14ac:dyDescent="0.25">
      <c r="A27" s="9" t="s">
        <v>180</v>
      </c>
      <c r="B27" s="16">
        <f>SUMPRODUCT(B9:B12,(C9:C12-C13)^2)</f>
        <v>159.60331171938219</v>
      </c>
      <c r="C27" s="15">
        <f>B5-1</f>
        <v>3</v>
      </c>
      <c r="D27" s="16">
        <f>B27/C27</f>
        <v>53.20110390646073</v>
      </c>
      <c r="E27" s="18">
        <f>D27/D28</f>
        <v>61.721944081986408</v>
      </c>
      <c r="F27" s="19">
        <f>_xlfn.F.DIST.RT(E27,C27,C28)</f>
        <v>7.9203649667051561E-33</v>
      </c>
      <c r="G27" s="18">
        <f>_xlfn.F.INV.RT(B4,C27,C28)</f>
        <v>2.6271583744196949</v>
      </c>
    </row>
    <row r="28" spans="1:7" x14ac:dyDescent="0.25">
      <c r="A28" s="9" t="s">
        <v>181</v>
      </c>
      <c r="B28" s="16">
        <f>SUM(H9:H12)</f>
        <v>345.64113272506256</v>
      </c>
      <c r="C28" s="15">
        <f>B13-B5</f>
        <v>401</v>
      </c>
      <c r="D28" s="16">
        <f>B28/C28</f>
        <v>0.86194796190788669</v>
      </c>
    </row>
    <row r="29" spans="1:7" x14ac:dyDescent="0.25">
      <c r="A29" s="9" t="s">
        <v>182</v>
      </c>
      <c r="B29" s="24">
        <f>DEVSQ('ANOVA Data'!C2:C406)</f>
        <v>505.24444444444543</v>
      </c>
      <c r="C29" s="15">
        <f>B13-1</f>
        <v>404</v>
      </c>
    </row>
    <row r="30" spans="1:7" x14ac:dyDescent="0.25">
      <c r="A30" s="9" t="s">
        <v>183</v>
      </c>
      <c r="B30" s="25">
        <f>B27+B28-B29</f>
        <v>-6.8212102632969618E-13</v>
      </c>
    </row>
    <row r="31" spans="1:7" x14ac:dyDescent="0.25">
      <c r="A31" s="13" t="s">
        <v>184</v>
      </c>
      <c r="B31" s="18">
        <f>B27/B29</f>
        <v>0.31589325419476533</v>
      </c>
    </row>
    <row r="32" spans="1:7" x14ac:dyDescent="0.25">
      <c r="A32" s="13" t="s">
        <v>185</v>
      </c>
      <c r="B32" s="9" t="str">
        <f>IF(F27&lt;B4,"Reject H0: mean satisfaction differs across freshness levels","Fail to reject H0")</f>
        <v>Reject H0: mean satisfaction differs across freshness levels</v>
      </c>
    </row>
    <row r="34" spans="1:7" x14ac:dyDescent="0.25">
      <c r="A34" s="13" t="s">
        <v>186</v>
      </c>
    </row>
    <row r="35" spans="1:7" x14ac:dyDescent="0.25">
      <c r="A35" s="9" t="s">
        <v>187</v>
      </c>
      <c r="B35" s="16">
        <f>SUMPRODUCT(I9:I12,C9:C12)/SUM(I9:I12)</f>
        <v>4.5594127425573667</v>
      </c>
    </row>
    <row r="36" spans="1:7" x14ac:dyDescent="0.25">
      <c r="A36" s="9" t="s">
        <v>188</v>
      </c>
      <c r="B36" s="16">
        <f>SUMPRODUCT(I9:I12,(C9:C12-B35)^2)/(B5-1)</f>
        <v>81.503328124856424</v>
      </c>
    </row>
    <row r="37" spans="1:7" x14ac:dyDescent="0.25">
      <c r="A37" s="9" t="s">
        <v>189</v>
      </c>
      <c r="B37" s="25">
        <f>SUM(J9:J12)</f>
        <v>2.8345977967221284E-2</v>
      </c>
    </row>
    <row r="38" spans="1:7" x14ac:dyDescent="0.25">
      <c r="A38" s="9" t="s">
        <v>190</v>
      </c>
      <c r="B38" s="18">
        <f>B36/(1+2*(B5-2)/(B5^2-1)*B37)</f>
        <v>80.891872329978327</v>
      </c>
    </row>
    <row r="39" spans="1:7" x14ac:dyDescent="0.25">
      <c r="A39" s="9" t="s">
        <v>191</v>
      </c>
      <c r="B39" s="15">
        <f>B5-1</f>
        <v>3</v>
      </c>
    </row>
    <row r="40" spans="1:7" x14ac:dyDescent="0.25">
      <c r="A40" s="9" t="s">
        <v>192</v>
      </c>
      <c r="B40" s="17">
        <f>(B5^2-1)/(3*B37)</f>
        <v>176.39186786153221</v>
      </c>
    </row>
    <row r="41" spans="1:7" x14ac:dyDescent="0.25">
      <c r="A41" s="9" t="s">
        <v>171</v>
      </c>
      <c r="B41" s="19">
        <f>_xlfn.F.DIST.RT(B38,B39,B40)</f>
        <v>6.1624459427165265E-33</v>
      </c>
      <c r="C41" s="8" t="s">
        <v>193</v>
      </c>
    </row>
    <row r="43" spans="1:7" x14ac:dyDescent="0.25">
      <c r="A43" s="13" t="s">
        <v>194</v>
      </c>
    </row>
    <row r="44" spans="1:7" x14ac:dyDescent="0.25">
      <c r="E44" s="6" t="s">
        <v>195</v>
      </c>
      <c r="F44" s="6" t="s">
        <v>196</v>
      </c>
      <c r="G44" s="6" t="s">
        <v>197</v>
      </c>
    </row>
    <row r="45" spans="1:7" x14ac:dyDescent="0.25">
      <c r="A45" s="9" t="s">
        <v>198</v>
      </c>
      <c r="B45" s="18">
        <f>12/(B13*(B13+1))*SUMPRODUCT(F9:F12^2/B9:B12)-3*(B13+1)</f>
        <v>120.04113837433943</v>
      </c>
      <c r="E45" s="23">
        <v>1</v>
      </c>
      <c r="F45" s="10">
        <f>COUNTIF('ANOVA Data'!$C$2:$C$406,E45)</f>
        <v>0</v>
      </c>
      <c r="G45" s="15">
        <f t="shared" ref="G45:G51" si="0">F45^3-F45</f>
        <v>0</v>
      </c>
    </row>
    <row r="46" spans="1:7" x14ac:dyDescent="0.25">
      <c r="A46" s="9" t="s">
        <v>199</v>
      </c>
      <c r="B46" s="16">
        <f>1-SUM(G45:G51)/(B13^3-B13)</f>
        <v>0.92491640789694729</v>
      </c>
      <c r="E46" s="23">
        <v>2</v>
      </c>
      <c r="F46" s="10">
        <f>COUNTIF('ANOVA Data'!$C$2:$C$406,E46)</f>
        <v>0</v>
      </c>
      <c r="G46" s="15">
        <f t="shared" si="0"/>
        <v>0</v>
      </c>
    </row>
    <row r="47" spans="1:7" x14ac:dyDescent="0.25">
      <c r="A47" s="9" t="s">
        <v>200</v>
      </c>
      <c r="B47" s="18">
        <f>B45/B46</f>
        <v>129.78593238202583</v>
      </c>
      <c r="E47" s="23">
        <v>3</v>
      </c>
      <c r="F47" s="10">
        <f>COUNTIF('ANOVA Data'!$C$2:$C$406,E47)</f>
        <v>38</v>
      </c>
      <c r="G47" s="15">
        <f t="shared" si="0"/>
        <v>54834</v>
      </c>
    </row>
    <row r="48" spans="1:7" x14ac:dyDescent="0.25">
      <c r="A48" s="9" t="s">
        <v>176</v>
      </c>
      <c r="B48" s="15">
        <f>B5-1</f>
        <v>3</v>
      </c>
      <c r="E48" s="23">
        <v>4</v>
      </c>
      <c r="F48" s="10">
        <f>COUNTIF('ANOVA Data'!$C$2:$C$406,E48)</f>
        <v>148</v>
      </c>
      <c r="G48" s="15">
        <f t="shared" si="0"/>
        <v>3241644</v>
      </c>
    </row>
    <row r="49" spans="1:7" x14ac:dyDescent="0.25">
      <c r="A49" s="9" t="s">
        <v>171</v>
      </c>
      <c r="B49" s="19">
        <f>_xlfn.CHISQ.DIST.RT(B47,B48)</f>
        <v>6.0145776478936982E-28</v>
      </c>
      <c r="E49" s="23">
        <v>5</v>
      </c>
      <c r="F49" s="10">
        <f>COUNTIF('ANOVA Data'!$C$2:$C$406,E49)</f>
        <v>95</v>
      </c>
      <c r="G49" s="15">
        <f t="shared" si="0"/>
        <v>857280</v>
      </c>
    </row>
    <row r="50" spans="1:7" x14ac:dyDescent="0.25">
      <c r="E50" s="23">
        <v>6</v>
      </c>
      <c r="F50" s="10">
        <f>COUNTIF('ANOVA Data'!$C$2:$C$406,E50)</f>
        <v>93</v>
      </c>
      <c r="G50" s="15">
        <f t="shared" si="0"/>
        <v>804264</v>
      </c>
    </row>
    <row r="51" spans="1:7" x14ac:dyDescent="0.25">
      <c r="E51" s="23">
        <v>7</v>
      </c>
      <c r="F51" s="10">
        <f>COUNTIF('ANOVA Data'!$C$2:$C$406,E51)</f>
        <v>31</v>
      </c>
      <c r="G51" s="15">
        <f t="shared" si="0"/>
        <v>29760</v>
      </c>
    </row>
    <row r="52" spans="1:7" x14ac:dyDescent="0.25">
      <c r="A52" s="13" t="s">
        <v>201</v>
      </c>
    </row>
    <row r="53" spans="1:7" ht="25.5" x14ac:dyDescent="0.25">
      <c r="A53" s="6" t="s">
        <v>202</v>
      </c>
      <c r="B53" s="6" t="s">
        <v>203</v>
      </c>
      <c r="C53" s="6" t="s">
        <v>176</v>
      </c>
      <c r="D53" s="6" t="s">
        <v>171</v>
      </c>
      <c r="E53" s="6" t="s">
        <v>185</v>
      </c>
    </row>
    <row r="54" spans="1:7" x14ac:dyDescent="0.25">
      <c r="A54" s="9" t="s">
        <v>204</v>
      </c>
      <c r="B54" s="17">
        <f>E27</f>
        <v>61.721944081986408</v>
      </c>
      <c r="C54" s="9" t="str">
        <f>C27&amp;", "&amp;C28</f>
        <v>3, 401</v>
      </c>
      <c r="D54" s="19">
        <f>F27</f>
        <v>7.9203649667051561E-33</v>
      </c>
      <c r="E54" s="9" t="str">
        <f>IF(D54&lt;$B$4,"Reject H0","Fail to reject H0")</f>
        <v>Reject H0</v>
      </c>
    </row>
    <row r="55" spans="1:7" x14ac:dyDescent="0.25">
      <c r="A55" s="9" t="s">
        <v>205</v>
      </c>
      <c r="B55" s="17">
        <f>B38</f>
        <v>80.891872329978327</v>
      </c>
      <c r="C55" s="9" t="str">
        <f>B39&amp;", "&amp;TEXT(B40,"0.0")</f>
        <v>3, 176.4</v>
      </c>
      <c r="D55" s="19">
        <f>B41</f>
        <v>6.1624459427165265E-33</v>
      </c>
      <c r="E55" s="9" t="str">
        <f>IF(D55&lt;$B$4,"Reject H0","Fail to reject H0")</f>
        <v>Reject H0</v>
      </c>
    </row>
    <row r="56" spans="1:7" x14ac:dyDescent="0.25">
      <c r="A56" s="9" t="s">
        <v>206</v>
      </c>
      <c r="B56" s="17">
        <f>B47</f>
        <v>129.78593238202583</v>
      </c>
      <c r="C56" s="9">
        <f>B48</f>
        <v>3</v>
      </c>
      <c r="D56" s="19">
        <f>B49</f>
        <v>6.0145776478936982E-28</v>
      </c>
      <c r="E56" s="9" t="str">
        <f>IF(D56&lt;$B$4,"Reject H0","Fail to reject H0")</f>
        <v>Reject H0</v>
      </c>
    </row>
    <row r="58" spans="1:7" x14ac:dyDescent="0.25">
      <c r="A58" s="8" t="s">
        <v>207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M33"/>
  <sheetViews>
    <sheetView workbookViewId="0"/>
  </sheetViews>
  <sheetFormatPr defaultRowHeight="15" x14ac:dyDescent="0.25"/>
  <cols>
    <col min="12" max="12" width="26" customWidth="1"/>
    <col min="13" max="13" width="18" customWidth="1"/>
  </cols>
  <sheetData>
    <row r="1" spans="1:1" ht="18" x14ac:dyDescent="0.25">
      <c r="A1" s="1" t="s">
        <v>29</v>
      </c>
    </row>
    <row r="21" spans="12:13" x14ac:dyDescent="0.25">
      <c r="L21" s="6" t="s">
        <v>208</v>
      </c>
      <c r="M21" s="6" t="s">
        <v>209</v>
      </c>
    </row>
    <row r="22" spans="12:13" x14ac:dyDescent="0.25">
      <c r="L22" s="26" t="str">
        <f>INDEX(Correlation!$B$26:$B$35,MATCH(M22,Correlation!$C$26:$C$35,0))</f>
        <v>Attractive interior</v>
      </c>
      <c r="M22" s="11">
        <f>SMALL(Correlation!$C$26:$C$35,1)</f>
        <v>0.19555341768608978</v>
      </c>
    </row>
    <row r="23" spans="12:13" x14ac:dyDescent="0.25">
      <c r="L23" s="26" t="str">
        <f>INDEX(Correlation!$B$26:$B$35,MATCH(M23,Correlation!$C$26:$C$35,0))</f>
        <v>Fun place to eat</v>
      </c>
      <c r="M23" s="11">
        <f>SMALL(Correlation!$C$26:$C$35,2)</f>
        <v>0.21909641316804054</v>
      </c>
    </row>
    <row r="24" spans="12:13" x14ac:dyDescent="0.25">
      <c r="L24" s="26" t="str">
        <f>INDEX(Correlation!$B$26:$B$35,MATCH(M24,Correlation!$C$26:$C$35,0))</f>
        <v>Reasonable prices</v>
      </c>
      <c r="M24" s="11">
        <f>SMALL(Correlation!$C$26:$C$35,3)</f>
        <v>0.29752465876234396</v>
      </c>
    </row>
    <row r="25" spans="12:13" x14ac:dyDescent="0.25">
      <c r="L25" s="26" t="str">
        <f>INDEX(Correlation!$B$26:$B$35,MATCH(M25,Correlation!$C$26:$C$35,0))</f>
        <v>Large portions</v>
      </c>
      <c r="M25" s="11">
        <f>SMALL(Correlation!$C$26:$C$35,4)</f>
        <v>0.30797615085228425</v>
      </c>
    </row>
    <row r="26" spans="12:13" x14ac:dyDescent="0.25">
      <c r="L26" s="26" t="str">
        <f>INDEX(Correlation!$B$26:$B$35,MATCH(M26,Correlation!$C$26:$C$35,0))</f>
        <v>Quick service</v>
      </c>
      <c r="M26" s="11">
        <f>SMALL(Correlation!$C$26:$C$35,5)</f>
        <v>0.38376891045602834</v>
      </c>
    </row>
    <row r="27" spans="12:13" x14ac:dyDescent="0.25">
      <c r="L27" s="26" t="str">
        <f>INDEX(Correlation!$B$26:$B$35,MATCH(M27,Correlation!$C$26:$C$35,0))</f>
        <v>Knowledgeable employees</v>
      </c>
      <c r="M27" s="11">
        <f>SMALL(Correlation!$C$26:$C$35,6)</f>
        <v>0.39701910970386189</v>
      </c>
    </row>
    <row r="28" spans="12:13" x14ac:dyDescent="0.25">
      <c r="L28" s="26" t="str">
        <f>INDEX(Correlation!$B$26:$B$35,MATCH(M28,Correlation!$C$26:$C$35,0))</f>
        <v>Friendly employees</v>
      </c>
      <c r="M28" s="11">
        <f>SMALL(Correlation!$C$26:$C$35,7)</f>
        <v>0.42466258767219667</v>
      </c>
    </row>
    <row r="29" spans="12:13" x14ac:dyDescent="0.25">
      <c r="L29" s="26" t="str">
        <f>INDEX(Correlation!$B$26:$B$35,MATCH(M29,Correlation!$C$26:$C$35,0))</f>
        <v>Excellent food taste</v>
      </c>
      <c r="M29" s="11">
        <f>SMALL(Correlation!$C$26:$C$35,8)</f>
        <v>0.43992026116752236</v>
      </c>
    </row>
    <row r="30" spans="12:13" x14ac:dyDescent="0.25">
      <c r="L30" s="26" t="str">
        <f>INDEX(Correlation!$B$26:$B$35,MATCH(M30,Correlation!$C$26:$C$35,0))</f>
        <v>Proper food temperature</v>
      </c>
      <c r="M30" s="11">
        <f>SMALL(Correlation!$C$26:$C$35,9)</f>
        <v>0.50435673038040529</v>
      </c>
    </row>
    <row r="31" spans="12:13" x14ac:dyDescent="0.25">
      <c r="L31" s="26" t="str">
        <f>INDEX(Correlation!$B$26:$B$35,MATCH(M31,Correlation!$C$26:$C$35,0))</f>
        <v>Fresh food</v>
      </c>
      <c r="M31" s="11">
        <f>SMALL(Correlation!$C$26:$C$35,10)</f>
        <v>0.55855337039537545</v>
      </c>
    </row>
    <row r="33" spans="12:12" x14ac:dyDescent="0.25">
      <c r="L33" s="8" t="s">
        <v>210</v>
      </c>
    </row>
  </sheetData>
  <pageMargins left="0.75" right="0.75" top="1" bottom="1" header="0.5" footer="0.5"/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C15"/>
  <sheetViews>
    <sheetView workbookViewId="0"/>
  </sheetViews>
  <sheetFormatPr defaultRowHeight="15" x14ac:dyDescent="0.25"/>
  <cols>
    <col min="1" max="1" width="46" customWidth="1"/>
    <col min="2" max="2" width="40" customWidth="1"/>
    <col min="3" max="3" width="90" customWidth="1"/>
  </cols>
  <sheetData>
    <row r="1" spans="1:3" ht="18" x14ac:dyDescent="0.25">
      <c r="A1" s="1" t="s">
        <v>211</v>
      </c>
    </row>
    <row r="3" spans="1:3" x14ac:dyDescent="0.25">
      <c r="A3" s="6" t="s">
        <v>82</v>
      </c>
      <c r="B3" s="6" t="s">
        <v>212</v>
      </c>
      <c r="C3" s="6" t="s">
        <v>213</v>
      </c>
    </row>
    <row r="4" spans="1:3" ht="30" customHeight="1" x14ac:dyDescent="0.25">
      <c r="A4" s="27" t="s">
        <v>214</v>
      </c>
      <c r="B4" s="28" t="str">
        <f>Cleaning!B4&amp;" / "&amp;Cleaning!B5&amp;" / "&amp;Cleaning!B6&amp;" / "&amp;Cleaning!B7</f>
        <v>405 / 0 / 0 / 0</v>
      </c>
      <c r="C4" s="29" t="s">
        <v>215</v>
      </c>
    </row>
    <row r="5" spans="1:3" ht="30" customHeight="1" x14ac:dyDescent="0.25">
      <c r="A5" s="27" t="s">
        <v>216</v>
      </c>
      <c r="B5" s="30">
        <f>Correlation!B7</f>
        <v>9.746066407377954E-2</v>
      </c>
      <c r="C5" s="29" t="s">
        <v>217</v>
      </c>
    </row>
    <row r="6" spans="1:3" ht="30" customHeight="1" x14ac:dyDescent="0.25">
      <c r="A6" s="27" t="s">
        <v>218</v>
      </c>
      <c r="B6" s="30">
        <f>Correlation!C29</f>
        <v>0.55855337039537545</v>
      </c>
      <c r="C6" s="29" t="s">
        <v>219</v>
      </c>
    </row>
    <row r="7" spans="1:3" ht="30" customHeight="1" x14ac:dyDescent="0.25">
      <c r="A7" s="27" t="s">
        <v>220</v>
      </c>
      <c r="B7" s="31">
        <f>Correlation!C37</f>
        <v>30</v>
      </c>
      <c r="C7" s="29" t="s">
        <v>221</v>
      </c>
    </row>
    <row r="8" spans="1:3" ht="30" customHeight="1" x14ac:dyDescent="0.25">
      <c r="A8" s="27" t="s">
        <v>222</v>
      </c>
      <c r="B8" s="28" t="str">
        <f>TEXT(ANOVA!B21,"0.00")&amp;" (p = "&amp;TEXT(ANOVA!B22,"0.0E+00")&amp;")"</f>
        <v>38.60 (p = 6.2E-22)</v>
      </c>
      <c r="C8" s="29" t="s">
        <v>223</v>
      </c>
    </row>
    <row r="9" spans="1:3" ht="30" customHeight="1" x14ac:dyDescent="0.25">
      <c r="A9" s="27" t="s">
        <v>224</v>
      </c>
      <c r="B9" s="28" t="str">
        <f>TEXT(ANOVA!E27,"0.00")&amp;"  (df = "&amp;ANOVA!C27&amp;", "&amp;ANOVA!C28&amp;")"</f>
        <v>61.72  (df = 3, 401)</v>
      </c>
      <c r="C9" s="29" t="s">
        <v>225</v>
      </c>
    </row>
    <row r="10" spans="1:3" ht="30" customHeight="1" x14ac:dyDescent="0.25">
      <c r="A10" s="27" t="s">
        <v>226</v>
      </c>
      <c r="B10" s="32">
        <f>ANOVA!F27</f>
        <v>7.9203649667051561E-33</v>
      </c>
      <c r="C10" s="29" t="s">
        <v>227</v>
      </c>
    </row>
    <row r="11" spans="1:3" ht="30" customHeight="1" x14ac:dyDescent="0.25">
      <c r="A11" s="27" t="s">
        <v>228</v>
      </c>
      <c r="B11" s="30">
        <f>ANOVA!B31</f>
        <v>0.31589325419476533</v>
      </c>
      <c r="C11" s="29" t="s">
        <v>229</v>
      </c>
    </row>
    <row r="12" spans="1:3" ht="30" customHeight="1" x14ac:dyDescent="0.25">
      <c r="A12" s="27" t="s">
        <v>230</v>
      </c>
      <c r="B12" s="28" t="str">
        <f>TEXT(ANOVA!C9,"0.00")&amp;" and "&amp;TEXT(ANOVA!C12,"0.00")</f>
        <v>3.99 and 5.51</v>
      </c>
      <c r="C12" s="29" t="s">
        <v>231</v>
      </c>
    </row>
    <row r="13" spans="1:3" ht="30" customHeight="1" x14ac:dyDescent="0.25">
      <c r="A13" s="27" t="s">
        <v>232</v>
      </c>
      <c r="B13" s="28" t="str">
        <f>TEXT(ANOVA!B38,"0.00")&amp;" (p = "&amp;TEXT(ANOVA!B41,"0.0E+00")&amp;")"</f>
        <v>80.89 (p = 6.2E-33)</v>
      </c>
      <c r="C13" s="29" t="s">
        <v>233</v>
      </c>
    </row>
    <row r="14" spans="1:3" ht="30" customHeight="1" x14ac:dyDescent="0.25">
      <c r="A14" s="27" t="s">
        <v>234</v>
      </c>
      <c r="B14" s="28" t="str">
        <f>TEXT(ANOVA!B47,"0.00")&amp;" (p = "&amp;TEXT(ANOVA!B49,"0.0E+00")&amp;")"</f>
        <v>129.79 (p = 6.0E-28)</v>
      </c>
      <c r="C14" s="29" t="s">
        <v>235</v>
      </c>
    </row>
    <row r="15" spans="1:3" ht="30" customHeight="1" x14ac:dyDescent="0.25">
      <c r="A15" s="27" t="s">
        <v>236</v>
      </c>
      <c r="B15" s="30" t="str">
        <f>ANOVA!B32</f>
        <v>Reject H0: mean satisfaction differs across freshness levels</v>
      </c>
      <c r="C15" s="29" t="s">
        <v>237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12"/>
  <sheetViews>
    <sheetView workbookViewId="0"/>
  </sheetViews>
  <sheetFormatPr defaultRowHeight="15" x14ac:dyDescent="0.25"/>
  <cols>
    <col min="1" max="1" width="140" customWidth="1"/>
  </cols>
  <sheetData>
    <row r="1" spans="1:1" ht="18" x14ac:dyDescent="0.25">
      <c r="A1" s="1" t="s">
        <v>238</v>
      </c>
    </row>
    <row r="3" spans="1:1" ht="32.1" customHeight="1" x14ac:dyDescent="0.25">
      <c r="A3" s="33" t="s">
        <v>239</v>
      </c>
    </row>
    <row r="4" spans="1:1" ht="32.1" customHeight="1" x14ac:dyDescent="0.25">
      <c r="A4" s="33" t="s">
        <v>240</v>
      </c>
    </row>
    <row r="5" spans="1:1" ht="32.1" customHeight="1" x14ac:dyDescent="0.25">
      <c r="A5" s="33" t="s">
        <v>241</v>
      </c>
    </row>
    <row r="6" spans="1:1" ht="32.1" customHeight="1" x14ac:dyDescent="0.25">
      <c r="A6" s="33" t="s">
        <v>242</v>
      </c>
    </row>
    <row r="7" spans="1:1" ht="32.1" customHeight="1" x14ac:dyDescent="0.25">
      <c r="A7" s="33" t="s">
        <v>243</v>
      </c>
    </row>
    <row r="8" spans="1:1" ht="32.1" customHeight="1" x14ac:dyDescent="0.25">
      <c r="A8" s="33" t="s">
        <v>244</v>
      </c>
    </row>
    <row r="9" spans="1:1" ht="32.1" customHeight="1" x14ac:dyDescent="0.25">
      <c r="A9" s="33" t="s">
        <v>245</v>
      </c>
    </row>
    <row r="10" spans="1:1" ht="32.1" customHeight="1" x14ac:dyDescent="0.25">
      <c r="A10" s="33" t="s">
        <v>246</v>
      </c>
    </row>
    <row r="11" spans="1:1" ht="32.1" customHeight="1" x14ac:dyDescent="0.25">
      <c r="A11" s="33" t="s">
        <v>247</v>
      </c>
    </row>
    <row r="12" spans="1:1" ht="32.1" customHeight="1" x14ac:dyDescent="0.25">
      <c r="A12" s="33" t="s">
        <v>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11</vt:i4>
      </vt:variant>
    </vt:vector>
  </HeadingPairs>
  <TitlesOfParts>
    <vt:vector size="11" baseType="lpstr">
      <vt:lpstr>README</vt:lpstr>
      <vt:lpstr>Questions</vt:lpstr>
      <vt:lpstr>Data</vt:lpstr>
      <vt:lpstr>Cleaning</vt:lpstr>
      <vt:lpstr>Descriptives</vt:lpstr>
      <vt:lpstr>Correlation</vt:lpstr>
      <vt:lpstr>ANOVA Data</vt:lpstr>
      <vt:lpstr>ANOVA</vt:lpstr>
      <vt:lpstr>Charts</vt:lpstr>
      <vt:lpstr>Summary</vt:lpstr>
      <vt:lpstr>AI Appendix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DAWN ANDREI PAMESA</cp:lastModifiedBy>
  <dcterms:created xsi:type="dcterms:W3CDTF">2026-09-27T15:11:23Z</dcterms:created>
  <dcterms:modified xsi:type="dcterms:W3CDTF">2026-09-27T15:11:24Z</dcterms:modified>
</cp:coreProperties>
</file>